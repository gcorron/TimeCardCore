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oleObject" PartName="/xl/embeddings/oleObject1.bin"/>
  <Override ContentType="application/vnd.openxmlformats-officedocument.oleObject" PartName="/xl/embeddings/oleObject2.bin"/>
  <Override ContentType="application/vnd.ms-excel.controlproperties+xml" PartName="/xl/ctrlProps/ctrlProp1.xml"/>
  <Override ContentType="application/vnd.ms-excel.controlproperties+xml" PartName="/xl/ctrlProps/ctrlProp2.xml"/>
  <Override ContentType="application/vnd.openxmlformats-officedocument.drawing+xml" PartName="/xl/drawings/drawing2.xml"/>
  <Override ContentType="application/vnd.openxmlformats-officedocument.oleObject" PartName="/xl/embeddings/oleObject3.bin"/>
  <Override ContentType="application/vnd.openxmlformats-officedocument.oleObject" PartName="/xl/embeddings/oleObject4.bin"/>
  <Override ContentType="application/vnd.ms-excel.controlproperties+xml" PartName="/xl/ctrlProps/ctrlProp3.xml"/>
  <Override ContentType="application/vnd.ms-excel.controlproperties+xml" PartName="/xl/ctrlProps/ctrlProp4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gcorr\source\repos\TimeCardCore\TimeCardCore\wwwroot\content\"/>
    </mc:Choice>
  </mc:AlternateContent>
  <xr:revisionPtr revIDLastSave="0" documentId="13_ncr:1_{7055A1FF-DBF4-4114-BD82-F34A69AB2F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1 W1" sheetId="20" r:id="rId1"/>
    <sheet name="C1 W2" sheetId="24" r:id="rId2"/>
  </sheets>
  <definedNames>
    <definedName name="_xlnm.Print_Area" localSheetId="0">'C1 W1'!$A$1:$O$41</definedName>
    <definedName name="_xlnm.Print_Area" localSheetId="1">'C1 W2'!$A$1:$O$35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<sst xmlns="http://schemas.openxmlformats.org/spreadsheetml/2006/main" count="58" uniqueCount="58">
  <si>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TIME CARD</t>
  </si>
  <si>
    <t>2318 N Evergreen St</t>
  </si>
  <si>
    <t>Phoenix, AZ 85006</t>
  </si>
  <si>
    <t>310-569-1433</t>
  </si>
  <si>
    <t>Consultant Name</t>
  </si>
  <si>
    <t>Client Name</t>
  </si>
  <si>
    <t>Supervisor</t>
  </si>
  <si>
    <t>Week Ending</t>
  </si>
  <si>
    <t>Returning to work</t>
  </si>
  <si>
    <t>Greg Corron</t>
  </si>
  <si>
    <t>Parker</t>
  </si>
  <si>
    <t>Alister Harris</t>
  </si>
  <si>
    <t>Assignment Completed</t>
  </si>
  <si>
    <t>Time Table:</t>
  </si>
  <si>
    <t>TOTAL HOURS</t>
  </si>
  <si>
    <t>Description of Work</t>
  </si>
  <si>
    <t>Dept</t>
  </si>
  <si>
    <t>client</t>
  </si>
  <si>
    <t>System</t>
  </si>
  <si>
    <t>Code</t>
  </si>
  <si>
    <t>Non-Billable</t>
  </si>
  <si>
    <t>Billable</t>
  </si>
  <si>
    <t>Fix Login bug so able to authenticate</t>
  </si>
  <si>
    <t>ParkerPortal</t>
  </si>
  <si>
    <t>Review initial tasks with Alister</t>
  </si>
  <si>
    <t>Better error message if problem authenticating</t>
  </si>
  <si>
    <t>Invoice screen revisions</t>
  </si>
  <si>
    <t>Fix runtime compilation for views and namespace issues</t>
  </si>
  <si>
    <t>Review tasks with Alister</t>
  </si>
  <si>
    <t>Fix problem with nested rows caused by changes to site.css and layout.html</t>
  </si>
  <si>
    <t>Troubleshoot and reinstall Github Copilot for Visual Studio</t>
  </si>
  <si>
    <t>Security screen debugging</t>
  </si>
  <si>
    <t>Invoice screen security</t>
  </si>
  <si>
    <t>Commit and merge code</t>
  </si>
  <si>
    <t>Security screen: fix role dropdown, permissions editing</t>
  </si>
  <si>
    <t>revise authentication using AD User, add to security screen, populate user table</t>
  </si>
  <si>
    <t>Invoice screen revisions for new stored procedures</t>
  </si>
  <si>
    <t>Invoice Screen Revisions</t>
  </si>
  <si>
    <t>Invoice Screen revisions</t>
  </si>
  <si>
    <t xml:space="preserve">TOTAL  HOURS:</t>
  </si>
  <si>
    <t>Consultant Signature:</t>
  </si>
  <si>
    <t>Date:</t>
  </si>
  <si>
    <t>Richard Bravo</t>
  </si>
  <si>
    <t>Client Signature:</t>
  </si>
  <si>
    <t>Supervisor Approval:</t>
  </si>
  <si>
    <t>Approval verifies that you are duly authorized on behalf of the above Customer and that you certify that the work was performed in a satisfactory manner.</t>
  </si>
  <si>
    <t>Invoice screen bug fixes, save weight and cartons</t>
  </si>
  <si>
    <t>Invoice screen testing, bug fixes</t>
  </si>
  <si>
    <t>Invoice screen revisions and bug fixes</t>
  </si>
  <si>
    <t>Invoice screen demo (and prep)</t>
  </si>
  <si>
    <t>Invoice SSRS print as pdf with SSRS</t>
  </si>
  <si>
    <t>Planning for using SSRS in desktop app</t>
  </si>
  <si>
    <t>Security screen Role permissions bug fix</t>
  </si>
  <si>
    <t>Invoice screen revise creation of new invoice</t>
  </si>
  <si>
    <t>Invoice screen create new invoice: wire up, debug and refactor</t>
  </si>
  <si>
    <t>Invoice screen email button to send invoice to customer</t>
  </si>
  <si>
    <t>Assist Marco and Ashley loading SSRS project in Visual Studio</t>
  </si>
  <si>
    <t>Debug send invoice (configure and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</si>
</sst>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"/>
    <numFmt numFmtId="165" formatCode="ddd"/>
    <numFmt numFmtId="166" formatCode="mm/dd/yy"/>
  </numFmts>
  <fonts count="2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i/>
      <sz val="9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sz val="26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0" fillId="0" borderId="0"/>
    <xf numFmtId="43" fontId="19" fillId="0" borderId="0"/>
    <xf numFmtId="44" fontId="2" fillId="0" borderId="0"/>
    <xf numFmtId="44" fontId="2" fillId="0" borderId="0"/>
    <xf numFmtId="44" fontId="10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0" fillId="0" borderId="0"/>
    <xf numFmtId="0" fontId="20" fillId="0" borderId="0"/>
    <xf numFmtId="0" fontId="19" fillId="0" borderId="0"/>
  </cellStyleXfs>
  <cellXfs count="93">
    <xf numFmtId="0" applyNumberFormat="1" fontId="0" applyFont="1" fillId="0" applyFill="1" borderId="0" applyBorder="1" xfId="0" applyProtection="1"/>
    <xf numFmtId="43" applyNumberFormat="1" fontId="10" applyFont="1" fillId="0" applyFill="1" borderId="0" applyBorder="1" xfId="1" applyProtection="1"/>
    <xf numFmtId="43" applyNumberFormat="1" fontId="19" applyFont="1" fillId="0" applyFill="1" borderId="0" applyBorder="1" xfId="2" applyProtection="1"/>
    <xf numFmtId="44" applyNumberFormat="1" fontId="2" applyFont="1" fillId="0" applyFill="1" borderId="0" applyBorder="1" xfId="3" applyProtection="1"/>
    <xf numFmtId="44" applyNumberFormat="1" fontId="2" applyFont="1" fillId="0" applyFill="1" borderId="0" applyBorder="1" xfId="4" applyProtection="1"/>
    <xf numFmtId="44" applyNumberFormat="1" fontId="10" applyFont="1" fillId="0" applyFill="1" borderId="0" applyBorder="1" xfId="5" applyProtection="1"/>
    <xf numFmtId="0" applyNumberFormat="1" fontId="2" applyFont="1" fillId="0" applyFill="1" borderId="0" applyBorder="1" xfId="6" applyProtection="1"/>
    <xf numFmtId="0" applyNumberFormat="1" fontId="2" applyFont="1" fillId="0" applyFill="1" borderId="0" applyBorder="1" xfId="7" applyProtection="1"/>
    <xf numFmtId="0" applyNumberFormat="1" fontId="19" applyFont="1" fillId="0" applyFill="1" borderId="0" applyBorder="1" xfId="8" applyProtection="1"/>
    <xf numFmtId="0" applyNumberFormat="1" fontId="2" applyFont="1" fillId="0" applyFill="1" borderId="0" applyBorder="1" xfId="9" applyProtection="1"/>
    <xf numFmtId="0" applyNumberFormat="1" fontId="2" applyFont="1" fillId="0" applyFill="1" borderId="0" applyBorder="1" xfId="10" applyProtection="1"/>
    <xf numFmtId="0" applyNumberFormat="1" fontId="10" applyFont="1" fillId="0" applyFill="1" borderId="0" applyBorder="1" xfId="11" applyProtection="1"/>
    <xf numFmtId="0" applyNumberFormat="1" fontId="20" applyFont="1" fillId="0" applyFill="1" borderId="0" applyBorder="1" xfId="12" applyProtection="1"/>
    <xf numFmtId="0" applyNumberFormat="1" fontId="19" applyFont="1" fillId="0" applyFill="1" borderId="0" applyBorder="1" xfId="13" applyProtection="1"/>
    <xf numFmtId="0" applyNumberFormat="1" fontId="3" applyFont="1" fillId="0" applyFill="1" borderId="1" applyBorder="1" xfId="0" applyProtection="1"/>
    <xf numFmtId="0" applyNumberFormat="1" fontId="1" applyFont="1" fillId="0" applyFill="1" borderId="2" applyBorder="1" xfId="0" applyProtection="1"/>
    <xf numFmtId="0" applyNumberFormat="1" fontId="0" applyFont="1" fillId="0" applyFill="1" borderId="3" applyBorder="1" xfId="0" applyProtection="1"/>
    <xf numFmtId="0" applyNumberFormat="1" fontId="1" applyFont="1" fillId="0" applyFill="1" borderId="1" applyBorder="1" xfId="0" applyProtection="1" applyAlignment="1">
      <alignment horizontal="centerContinuous"/>
    </xf>
    <xf numFmtId="0" applyNumberFormat="1" fontId="0" applyFont="1" fillId="0" applyFill="1" borderId="3" applyBorder="1" xfId="0" applyProtection="1" applyAlignment="1">
      <alignment horizontal="centerContinuous"/>
    </xf>
    <xf numFmtId="0" applyNumberFormat="1" fontId="4" applyFont="1" fillId="0" applyFill="1" borderId="1" applyBorder="1" xfId="0" applyProtection="1"/>
    <xf numFmtId="0" applyNumberFormat="1" fontId="5" applyFont="1" fillId="0" applyFill="1" borderId="2" applyBorder="1" xfId="0" applyProtection="1"/>
    <xf numFmtId="0" applyNumberFormat="1" fontId="1" applyFont="1" fillId="0" applyFill="1" borderId="3" applyBorder="1" xfId="0" applyProtection="1"/>
    <xf numFmtId="0" applyNumberFormat="1" fontId="1" applyFont="1" fillId="0" applyFill="1" borderId="0" applyBorder="1" xfId="0" applyProtection="1"/>
    <xf numFmtId="0" applyNumberFormat="1" fontId="6" applyFont="1" fillId="0" applyFill="1" borderId="4" applyBorder="1" xfId="0" applyProtection="1" applyAlignment="1">
      <alignment horizontal="left"/>
    </xf>
    <xf numFmtId="0" applyNumberFormat="1" fontId="0" applyFont="1" fillId="0" applyFill="1" borderId="5" applyBorder="1" xfId="0" applyProtection="1" applyAlignment="1">
      <alignment horizontal="left"/>
    </xf>
    <xf numFmtId="0" applyNumberFormat="1" fontId="0" applyFont="1" fillId="0" applyFill="1" borderId="6" applyBorder="1" xfId="0" applyProtection="1" applyAlignment="1">
      <alignment horizontal="centerContinuous"/>
    </xf>
    <xf numFmtId="14" applyNumberFormat="1" fontId="7" applyFont="1" fillId="0" applyFill="1" borderId="4" applyBorder="1" xfId="0" applyProtection="1" applyAlignment="1">
      <alignment horizontal="centerContinuous"/>
    </xf>
    <xf numFmtId="0" applyNumberFormat="1" fontId="7" applyFont="1" fillId="0" applyFill="1" borderId="6" applyBorder="1" xfId="0" applyProtection="1" applyAlignment="1">
      <alignment horizontal="centerContinuous"/>
    </xf>
    <xf numFmtId="0" applyNumberFormat="1" fontId="4" applyFont="1" fillId="0" applyFill="1" borderId="4" applyBorder="1" xfId="0" applyProtection="1"/>
    <xf numFmtId="0" applyNumberFormat="1" fontId="5" applyFont="1" fillId="0" applyFill="1" borderId="5" applyBorder="1" xfId="0" applyProtection="1"/>
    <xf numFmtId="0" applyNumberFormat="1" fontId="1" applyFont="1" fillId="0" applyFill="1" borderId="6" applyBorder="1" xfId="0" applyProtection="1"/>
    <xf numFmtId="0" applyNumberFormat="1" fontId="0" applyFont="1" fillId="0" applyFill="1" borderId="7" applyBorder="1" xfId="0" applyProtection="1"/>
    <xf numFmtId="0" applyNumberFormat="1" fontId="9" applyFont="1" fillId="0" applyFill="1" borderId="0" applyBorder="1" xfId="0" applyProtection="1"/>
    <xf numFmtId="0" applyNumberFormat="1" fontId="3" applyFont="1" fillId="0" applyFill="1" borderId="1" applyBorder="1" xfId="0" applyProtection="1" applyAlignment="1">
      <alignment vertical="center"/>
    </xf>
    <xf numFmtId="0" applyNumberFormat="1" fontId="10" applyFont="1" fillId="0" applyFill="1" borderId="2" applyBorder="1" xfId="0" applyProtection="1"/>
    <xf numFmtId="0" applyNumberFormat="1" fontId="0" applyFont="1" fillId="0" applyFill="1" borderId="2" applyBorder="1" xfId="0" applyProtection="1"/>
    <xf numFmtId="0" applyNumberFormat="1" fontId="1" applyFont="1" fillId="0" applyFill="1" borderId="1" applyBorder="1" xfId="0" applyProtection="1"/>
    <xf numFmtId="14" applyNumberFormat="1" fontId="7" applyFont="1" fillId="0" applyFill="1" borderId="2" applyBorder="1" xfId="0" applyProtection="1"/>
    <xf numFmtId="0" applyNumberFormat="1" fontId="0" applyFont="1" fillId="0" applyFill="1" borderId="8" applyBorder="1" xfId="0" applyProtection="1" applyAlignment="1">
      <alignment vertical="center"/>
    </xf>
    <xf numFmtId="0" applyNumberFormat="1" fontId="0" applyFont="1" fillId="0" applyFill="1" borderId="9" applyBorder="1" xfId="0" applyProtection="1"/>
    <xf numFmtId="0" applyNumberFormat="1" fontId="0" applyFont="1" fillId="0" applyFill="1" borderId="10" applyBorder="1" xfId="0" applyProtection="1"/>
    <xf numFmtId="0" applyNumberFormat="1" fontId="0" applyFont="1" fillId="0" applyFill="1" borderId="11" applyBorder="1" xfId="0" applyProtection="1"/>
    <xf numFmtId="2" applyNumberFormat="1" fontId="9" applyFont="1" fillId="0" applyFill="1" borderId="0" applyBorder="1" xfId="0" applyProtection="1" applyAlignment="1">
      <alignment horizontal="center"/>
    </xf>
    <xf numFmtId="0" applyNumberFormat="1" fontId="9" applyFont="1" fillId="0" applyFill="1" borderId="10" applyBorder="1" xfId="0" applyProtection="1"/>
    <xf numFmtId="0" applyNumberFormat="1" fontId="12" applyFont="1" fillId="0" applyFill="1" borderId="6" applyBorder="1" xfId="0" applyProtection="1"/>
    <xf numFmtId="0" applyNumberFormat="1" fontId="13" applyFont="1" fillId="0" applyFill="1" borderId="7" applyBorder="1" xfId="0" applyProtection="1" applyAlignment="1">
      <alignment horizontal="centerContinuous"/>
    </xf>
    <xf numFmtId="0" applyNumberFormat="1" fontId="12" applyFont="1" fillId="0" applyFill="1" borderId="7" applyBorder="1" xfId="0" applyProtection="1" applyAlignment="1">
      <alignment horizontal="centerContinuous"/>
    </xf>
    <xf numFmtId="0" applyNumberFormat="1" fontId="12" applyFont="1" fillId="0" applyFill="1" borderId="0" applyBorder="1" xfId="0" applyProtection="1"/>
    <xf numFmtId="0" applyNumberFormat="1" fontId="11" applyFont="1" fillId="0" applyFill="1" borderId="1" applyBorder="1" xfId="0" applyProtection="1" applyAlignment="1">
      <alignment horizontal="centerContinuous"/>
    </xf>
    <xf numFmtId="0" applyNumberFormat="1" fontId="12" applyFont="1" fillId="0" applyFill="1" borderId="2" applyBorder="1" xfId="0" applyProtection="1" applyAlignment="1">
      <alignment horizontal="centerContinuous"/>
    </xf>
    <xf numFmtId="0" applyNumberFormat="1" fontId="13" applyFont="1" fillId="0" applyFill="1" borderId="4" applyBorder="1" xfId="0" applyProtection="1"/>
    <xf numFmtId="2" applyNumberFormat="1" fontId="12" applyFont="1" fillId="0" applyFill="1" borderId="0" applyBorder="1" xfId="0" applyProtection="1"/>
    <xf numFmtId="0" applyNumberFormat="1" fontId="8" applyFont="1" fillId="0" applyFill="1" borderId="4" applyBorder="1" xfId="0" applyProtection="1" applyAlignment="1">
      <alignment horizontal="centerContinuous"/>
    </xf>
    <xf numFmtId="0" applyNumberFormat="1" fontId="1" applyFont="1" fillId="0" applyFill="1" borderId="6" applyBorder="1" xfId="0" applyProtection="1" applyAlignment="1">
      <alignment horizontal="centerContinuous"/>
    </xf>
    <xf numFmtId="2" applyNumberFormat="1" fontId="7" applyFont="1" fillId="0" applyFill="1" borderId="7" applyBorder="1" xfId="0" applyProtection="1" applyAlignment="1">
      <alignment horizontal="center"/>
    </xf>
    <xf numFmtId="0" applyNumberFormat="1" fontId="13" applyFont="1" fillId="0" applyFill="1" borderId="0" applyBorder="1" xfId="0" applyProtection="1"/>
    <xf numFmtId="0" applyNumberFormat="1" fontId="13" applyFont="1" fillId="0" applyFill="1" borderId="0" applyBorder="1" xfId="0" applyProtection="1" applyAlignment="1">
      <alignment horizontal="center"/>
    </xf>
    <xf numFmtId="0" applyNumberFormat="1" fontId="14" applyFont="1" fillId="0" applyFill="1" borderId="0" applyBorder="1" xfId="0" applyProtection="1" applyAlignment="1">
      <alignment horizontal="center"/>
    </xf>
    <xf numFmtId="0" applyNumberFormat="1" fontId="14" applyFont="1" fillId="0" applyFill="1" borderId="7" applyBorder="1" xfId="0" applyProtection="1" applyAlignment="1">
      <alignment horizontal="center"/>
    </xf>
    <xf numFmtId="0" applyNumberFormat="1" fontId="12" applyFont="1" fillId="0" applyFill="1" borderId="5" applyBorder="1" xfId="0" applyProtection="1"/>
    <xf numFmtId="0" applyNumberFormat="1" fontId="16" applyFont="1" fillId="0" applyFill="1" borderId="4" applyBorder="1" xfId="0" applyProtection="1"/>
    <xf numFmtId="165" applyNumberFormat="1" fontId="12" applyFont="1" fillId="0" applyFill="1" borderId="7" applyBorder="1" xfId="0" applyProtection="1" applyAlignment="1">
      <alignment horizontal="center"/>
    </xf>
    <xf numFmtId="166" applyNumberFormat="1" fontId="13" applyFont="1" fillId="0" applyFill="1" borderId="7" applyBorder="1" xfId="0" applyProtection="1" applyAlignment="1">
      <alignment horizontal="center"/>
    </xf>
    <xf numFmtId="166" applyNumberFormat="1" fontId="13" applyFont="1" fillId="0" applyFill="1" borderId="0" applyBorder="1" xfId="0" applyProtection="1" applyAlignment="1">
      <alignment horizontal="center"/>
    </xf>
    <xf numFmtId="0" applyNumberFormat="1" fontId="13" applyFont="1" fillId="2" applyFill="1" borderId="0" applyBorder="1" xfId="0" applyProtection="1"/>
    <xf numFmtId="0" applyNumberFormat="1" fontId="12" applyFont="1" fillId="2" applyFill="1" borderId="0" applyBorder="1" xfId="0" applyProtection="1"/>
    <xf numFmtId="0" applyNumberFormat="1" fontId="13" applyFont="1" fillId="2" applyFill="1" borderId="0" applyBorder="1" xfId="0" applyProtection="1" applyAlignment="1">
      <alignment horizontal="center"/>
    </xf>
    <xf numFmtId="14" applyNumberFormat="1" fontId="13" applyFont="1" fillId="2" applyFill="1" borderId="0" applyBorder="1" xfId="0" applyProtection="1" applyAlignment="1">
      <alignment horizontal="center"/>
    </xf>
    <xf numFmtId="0" applyNumberFormat="1" fontId="14" applyFont="1" fillId="2" applyFill="1" borderId="0" applyBorder="1" xfId="0" applyProtection="1" applyAlignment="1">
      <alignment horizontal="center"/>
    </xf>
    <xf numFmtId="0" applyNumberFormat="1" fontId="12" applyFont="1" fillId="0" applyFill="1" borderId="6" applyBorder="1" xfId="0" applyProtection="1" applyAlignment="1">
      <alignment horizontal="center"/>
    </xf>
    <xf numFmtId="0" applyNumberFormat="1" fontId="17" applyFont="1" fillId="0" applyFill="1" borderId="0" applyBorder="1" xfId="0" applyProtection="1"/>
    <xf numFmtId="0" applyNumberFormat="1" fontId="17" applyFont="1" fillId="0" applyFill="1" borderId="0" applyBorder="1" xfId="0" quotePrefix="1" applyProtection="1"/>
    <xf numFmtId="0" applyNumberFormat="1" fontId="8" applyFont="1" fillId="0" applyFill="1" borderId="0" applyBorder="1" xfId="0" applyProtection="1"/>
    <xf numFmtId="0" applyNumberFormat="1" fontId="13" applyFont="1" fillId="0" applyFill="1" borderId="4" applyBorder="1" xfId="13" applyProtection="1"/>
    <xf numFmtId="0" applyNumberFormat="1" fontId="0" applyFont="1" fillId="0" applyFill="1" borderId="5" applyBorder="1" xfId="0" applyProtection="1" applyAlignment="1">
      <alignment horizontal="centerContinuous"/>
    </xf>
    <xf numFmtId="0" applyNumberFormat="1" fontId="1" applyFont="1" fillId="0" applyFill="1" borderId="7" applyBorder="1" xfId="0" applyProtection="1" applyAlignment="1">
      <alignment horizontal="centerContinuous"/>
    </xf>
    <xf numFmtId="0" applyNumberFormat="1" fontId="18" applyFont="1" fillId="0" applyFill="1" borderId="5" applyBorder="1" xfId="0" applyProtection="1" applyAlignment="1">
      <alignment vertical="top"/>
    </xf>
    <xf numFmtId="0" applyNumberFormat="1" fontId="18" applyFont="1" fillId="0" applyFill="1" borderId="4" applyBorder="1" xfId="0" applyProtection="1" applyAlignment="1">
      <alignment vertical="top"/>
    </xf>
    <xf numFmtId="0" applyNumberFormat="1" fontId="18" applyFont="1" fillId="0" applyFill="1" borderId="6" applyBorder="1" xfId="0" applyProtection="1" applyAlignment="1">
      <alignment vertical="top"/>
    </xf>
    <xf numFmtId="0" applyNumberFormat="1" fontId="18" applyFont="1" fillId="0" applyFill="1" borderId="7" applyBorder="1" xfId="0" applyProtection="1" applyAlignment="1">
      <alignment vertical="top"/>
    </xf>
    <xf numFmtId="2" applyNumberFormat="1" fontId="18" applyFont="1" fillId="0" applyFill="1" borderId="6" applyBorder="1" xfId="0" applyProtection="1" applyAlignment="1">
      <alignment horizontal="center" vertical="top"/>
    </xf>
    <xf numFmtId="2" applyNumberFormat="1" fontId="18" applyFont="1" fillId="0" applyFill="1" borderId="7" applyBorder="1" xfId="0" applyProtection="1" applyAlignment="1">
      <alignment horizontal="center" vertical="top"/>
    </xf>
    <xf numFmtId="2" applyNumberFormat="1" fontId="9" applyFont="1" fillId="0" applyFill="1" borderId="7" applyBorder="1" xfId="0" applyProtection="1" applyAlignment="1">
      <alignment horizontal="center" vertical="top"/>
    </xf>
    <xf numFmtId="0" applyNumberFormat="1" fontId="18" applyFont="1" fillId="0" applyFill="1" borderId="5" applyBorder="1" xfId="0" applyProtection="1" applyAlignment="1">
      <alignment vertical="top" wrapText="1"/>
    </xf>
    <xf numFmtId="0" applyNumberFormat="1" fontId="6" applyFont="1" fillId="0" applyFill="1" borderId="0" applyBorder="1" xfId="12" applyProtection="1" applyAlignment="1">
      <alignment horizontal="left"/>
    </xf>
    <xf numFmtId="0" applyNumberFormat="1" fontId="6" applyFont="1" fillId="0" applyFill="1" borderId="0" applyBorder="1" xfId="13" applyProtection="1"/>
    <xf numFmtId="164" applyNumberFormat="1" fontId="0" applyFont="1" fillId="0" applyFill="1" borderId="10" applyBorder="1" xfId="0" applyProtection="1" applyAlignment="1">
      <alignment horizontal="center"/>
    </xf>
    <xf numFmtId="164" applyNumberFormat="1" fontId="0" applyFont="1" fillId="0" applyFill="1" borderId="11" applyBorder="1" xfId="0" applyProtection="1" applyAlignment="1">
      <alignment horizontal="center"/>
    </xf>
    <xf numFmtId="0" applyNumberFormat="1" fontId="15" applyFont="1" fillId="0" applyFill="1" borderId="0" applyBorder="1" xfId="0" applyProtection="1" applyAlignment="1">
      <alignment horizontal="center"/>
    </xf>
    <xf numFmtId="0" applyNumberFormat="1" fontId="1" applyFont="1" fillId="0" applyFill="1" borderId="4" applyBorder="1" xfId="0" applyProtection="1" applyAlignment="1">
      <alignment horizontal="center"/>
    </xf>
    <xf numFmtId="0" applyNumberFormat="1" fontId="3" applyFont="1" fillId="0" applyFill="1" borderId="6" applyBorder="1" xfId="0" applyProtection="1" applyAlignment="1">
      <alignment horizontal="center"/>
    </xf>
    <xf numFmtId="0" applyNumberFormat="1" fontId="0" applyFont="1" fillId="0" applyFill="1" borderId="4" applyBorder="1" xfId="0" applyProtection="1" applyAlignment="1">
      <alignment horizontal="center"/>
    </xf>
    <xf numFmtId="0" applyNumberFormat="1" fontId="0" applyFont="1" fillId="0" applyFill="1" borderId="6" applyBorder="1" xfId="0" applyProtection="1" applyAlignment="1">
      <alignment horizontal="center"/>
    </xf>
  </cellXfs>
  <cellStyles count="14">
    <cellStyle name="Comma 2" xfId="1"/>
    <cellStyle name="Comma 3" xfId="2"/>
    <cellStyle name="Currency 2" xfId="3"/>
    <cellStyle name="Currency 2 2" xfId="4"/>
    <cellStyle name="Currency 3" xfId="5"/>
    <cellStyle name="Normal" xfId="0" builtinId="0"/>
    <cellStyle name="Normal 2" xfId="6"/>
    <cellStyle name="Normal 2 2" xfId="7"/>
    <cellStyle name="Normal 2 3" xfId="8"/>
    <cellStyle name="Normal 3" xfId="9"/>
    <cellStyle name="Normal 3 2" xfId="10"/>
    <cellStyle name="Normal 4" xfId="11"/>
    <cellStyle name="Normal 5" xfId="12"/>
    <cellStyle name="Normal_tc_jwci_alister_20050715_22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4337" name="Picture 4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0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0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0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4340" name="Picture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0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5900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8433" name="Picture 4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1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1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8436" name="Picture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1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5900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2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1.xml"/><Relationship Id="rId2" Type="http://schemas.openxmlformats.org/officeDocument/2006/relationships/drawing" Target="../drawings/drawing1.xml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2.xml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41"/>
  <sheetViews>
    <sheetView tabSelected="1" zoomScale="75" workbookViewId="0">
      <selection activeCell="B19" sqref="B19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hidden="1" width="7.42578125" customWidth="1"/>
    <col min="5" max="5" width="10.5703125" customWidth="1"/>
    <col min="6" max="6" width="8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1.7109375" customWidth="1"/>
    <col min="15" max="15" width="11" customWidth="1"/>
  </cols>
  <sheetData>
    <row r="1" ht="17.25" customHeight="1">
      <c r="A1" s="71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88" t="s">
        <v>0</v>
      </c>
      <c r="N1" s="88"/>
      <c r="O1" s="88"/>
    </row>
    <row r="2" ht="22.5" customHeight="1">
      <c r="A2" s="70"/>
      <c r="B2" s="70"/>
      <c r="C2" s="70"/>
      <c r="D2" s="72"/>
      <c r="E2" s="72"/>
      <c r="F2" s="72"/>
      <c r="G2" s="84"/>
      <c r="H2" s="70"/>
      <c r="I2" s="70"/>
      <c r="J2" s="70"/>
      <c r="K2" s="70"/>
      <c r="L2" s="70"/>
      <c r="M2" s="88"/>
      <c r="N2" s="88"/>
      <c r="O2" s="88"/>
    </row>
    <row r="3" ht="18.75" customHeight="1">
      <c r="A3" s="70"/>
      <c r="B3" s="84" t="s">
        <v>1</v>
      </c>
      <c r="C3" s="70"/>
      <c r="D3" s="72"/>
      <c r="E3" s="72"/>
      <c r="F3" s="72"/>
      <c r="G3" s="85"/>
      <c r="H3" s="70"/>
      <c r="I3" s="70"/>
      <c r="J3" s="70"/>
      <c r="K3" s="70"/>
      <c r="L3" s="70"/>
      <c r="M3" s="88"/>
      <c r="N3" s="88"/>
      <c r="O3" s="88"/>
    </row>
    <row r="4" ht="19.5" customHeight="1">
      <c r="A4" s="70"/>
      <c r="B4" s="85" t="s">
        <v>2</v>
      </c>
      <c r="C4" s="70"/>
      <c r="D4" s="70"/>
      <c r="E4" s="70"/>
      <c r="F4" s="70"/>
      <c r="G4" s="84"/>
      <c r="H4" s="70"/>
      <c r="I4" s="70"/>
      <c r="J4" s="70"/>
      <c r="K4" s="70"/>
      <c r="L4" s="70"/>
      <c r="M4" s="88"/>
      <c r="N4" s="88"/>
      <c r="O4" s="88"/>
    </row>
    <row r="5" ht="18.75" customHeight="1">
      <c r="A5" s="70"/>
      <c r="B5" s="84" t="s">
        <v>3</v>
      </c>
      <c r="C5" s="70"/>
      <c r="D5" s="70"/>
      <c r="E5" s="70"/>
      <c r="F5" s="70"/>
      <c r="G5" s="70"/>
      <c r="H5" s="70"/>
      <c r="I5" s="70"/>
      <c r="J5" s="70"/>
      <c r="K5" s="70"/>
      <c r="L5" s="70"/>
    </row>
    <row r="7" ht="16.5" customHeight="1" s="22" customFormat="1">
      <c r="A7" s="14" t="s">
        <v>4</v>
      </c>
      <c r="B7" s="15"/>
      <c r="C7" s="15"/>
      <c r="D7" s="16"/>
      <c r="E7" s="35"/>
      <c r="F7" s="35"/>
      <c r="G7" s="17" t="s">
        <v>5</v>
      </c>
      <c r="H7" s="18"/>
      <c r="I7" s="17" t="s">
        <v>6</v>
      </c>
      <c r="J7" s="18"/>
      <c r="K7" s="17" t="s">
        <v>7</v>
      </c>
      <c r="L7" s="18"/>
      <c r="M7" s="19"/>
      <c r="N7" s="20" t="s">
        <v>8</v>
      </c>
      <c r="O7" s="21"/>
    </row>
    <row r="8" ht="16.5" customHeight="1">
      <c r="A8" s="23" t="s">
        <v>9</v>
      </c>
      <c r="B8" s="24"/>
      <c r="C8" s="24"/>
      <c r="D8" s="25"/>
      <c r="E8" s="74"/>
      <c r="F8" s="74"/>
      <c r="G8" s="89" t="s">
        <v>10</v>
      </c>
      <c r="H8" s="90"/>
      <c r="I8" s="91" t="s">
        <v>11</v>
      </c>
      <c r="J8" s="92"/>
      <c r="K8" s="26">
        <v>46207</v>
      </c>
      <c r="L8" s="27"/>
      <c r="M8" s="28"/>
      <c r="N8" s="29" t="s">
        <v>12</v>
      </c>
      <c r="O8" s="30"/>
    </row>
    <row r="9" ht="16.5" customHeight="1"/>
    <row r="10" ht="16.5" customHeight="1">
      <c r="A10" s="48" t="s">
        <v>13</v>
      </c>
      <c r="B10" s="49"/>
      <c r="C10" s="49"/>
      <c r="D10" s="44"/>
      <c r="E10" s="44"/>
      <c r="F10" s="44"/>
      <c r="G10" s="61">
        <f ref="G10:M10" t="shared" si="0">G11</f>
        <v>46201</v>
      </c>
      <c r="H10" s="61">
        <f t="shared" si="0"/>
        <v>46202</v>
      </c>
      <c r="I10" s="61">
        <f t="shared" si="0"/>
        <v>46203</v>
      </c>
      <c r="J10" s="61">
        <f t="shared" si="0"/>
        <v>46204</v>
      </c>
      <c r="K10" s="61">
        <f t="shared" si="0"/>
        <v>46205</v>
      </c>
      <c r="L10" s="61">
        <f t="shared" si="0"/>
        <v>46206</v>
      </c>
      <c r="M10" s="61">
        <f t="shared" si="0"/>
        <v>46207</v>
      </c>
      <c r="N10" s="45" t="s">
        <v>14</v>
      </c>
      <c r="O10" s="46"/>
    </row>
    <row r="11" ht="16.5" customHeight="1">
      <c r="A11" s="50"/>
      <c r="B11" s="73" t="s">
        <v>15</v>
      </c>
      <c r="C11" s="59" t="s">
        <v>16</v>
      </c>
      <c r="D11" s="69" t="s">
        <v>17</v>
      </c>
      <c r="E11" s="69" t="s">
        <v>18</v>
      </c>
      <c r="F11" s="69" t="s">
        <v>19</v>
      </c>
      <c r="G11" s="62">
        <f ref="G11:L11" t="shared" si="1">H11-1</f>
        <v>46201</v>
      </c>
      <c r="H11" s="62">
        <f t="shared" si="1"/>
        <v>46202</v>
      </c>
      <c r="I11" s="62">
        <f t="shared" si="1"/>
        <v>46203</v>
      </c>
      <c r="J11" s="62">
        <f t="shared" si="1"/>
        <v>46204</v>
      </c>
      <c r="K11" s="62">
        <f t="shared" si="1"/>
        <v>46205</v>
      </c>
      <c r="L11" s="62">
        <f t="shared" si="1"/>
        <v>46206</v>
      </c>
      <c r="M11" s="62">
        <f>K8</f>
        <v>46207</v>
      </c>
      <c r="N11" s="58" t="s">
        <v>20</v>
      </c>
      <c r="O11" s="58" t="s">
        <v>21</v>
      </c>
    </row>
    <row r="12" ht="10.5" customHeight="1">
      <c r="A12" s="55"/>
      <c r="B12" s="47"/>
      <c r="C12" s="47"/>
      <c r="D12" s="56"/>
      <c r="E12" s="56"/>
      <c r="F12" s="56"/>
      <c r="G12" s="63"/>
      <c r="H12" s="63"/>
      <c r="I12" s="63"/>
      <c r="J12" s="63"/>
      <c r="K12" s="63"/>
      <c r="L12" s="63"/>
      <c r="M12" s="63"/>
      <c r="N12" s="57"/>
      <c r="O12" s="57"/>
    </row>
    <row r="13" ht="0.75" customHeight="1">
      <c r="A13" s="64"/>
      <c r="B13" s="65"/>
      <c r="C13" s="65"/>
      <c r="D13" s="66"/>
      <c r="E13" s="66"/>
      <c r="F13" s="66"/>
      <c r="G13" s="67"/>
      <c r="H13" s="67"/>
      <c r="I13" s="67"/>
      <c r="J13" s="67"/>
      <c r="K13" s="67"/>
      <c r="L13" s="67"/>
      <c r="M13" s="67"/>
      <c r="N13" s="68"/>
      <c r="O13" s="68"/>
    </row>
    <row r="14">
      <c r="A14" s="60"/>
      <c r="B14" s="83" t="s">
        <v>22</v>
      </c>
      <c r="C14" s="77"/>
      <c r="D14" s="78" t="s">
        <v>23</v>
      </c>
      <c r="E14" s="79"/>
      <c r="F14" s="78"/>
      <c r="G14" s="80"/>
      <c r="H14" s="81">
        <v>0.5</v>
      </c>
      <c r="I14" s="81"/>
      <c r="J14" s="81"/>
      <c r="K14" s="81"/>
      <c r="L14" s="81"/>
      <c r="M14" s="81"/>
      <c r="N14" s="81"/>
      <c r="O14" s="82">
        <f>SUM(G14:M14)</f>
        <v>0.5</v>
      </c>
    </row>
    <row r="15">
      <c r="A15" s="60"/>
      <c r="B15" s="83" t="s">
        <v>24</v>
      </c>
      <c r="C15" s="77"/>
      <c r="D15" s="78" t="s">
        <v>23</v>
      </c>
      <c r="E15" s="79"/>
      <c r="F15" s="78"/>
      <c r="G15" s="80"/>
      <c r="H15" s="81">
        <v>0.5</v>
      </c>
      <c r="I15" s="81"/>
      <c r="J15" s="81"/>
      <c r="K15" s="81"/>
      <c r="L15" s="81"/>
      <c r="M15" s="81"/>
      <c r="N15" s="81"/>
      <c r="O15" s="82">
        <f>SUM(G15:M15)</f>
        <v>0.5</v>
      </c>
    </row>
    <row r="16">
      <c r="A16" s="60"/>
      <c r="B16" s="83" t="s">
        <v>25</v>
      </c>
      <c r="C16" s="77"/>
      <c r="D16" s="78" t="s">
        <v>23</v>
      </c>
      <c r="E16" s="79"/>
      <c r="F16" s="78"/>
      <c r="G16" s="80"/>
      <c r="H16" s="81">
        <v>0.25</v>
      </c>
      <c r="I16" s="81"/>
      <c r="J16" s="81"/>
      <c r="K16" s="81"/>
      <c r="L16" s="81"/>
      <c r="M16" s="81"/>
      <c r="N16" s="81"/>
      <c r="O16" s="82">
        <f>SUM(G16:M16)</f>
        <v>0.25</v>
      </c>
    </row>
    <row r="17">
      <c r="A17" s="60"/>
      <c r="B17" s="83" t="s">
        <v>26</v>
      </c>
      <c r="C17" s="77"/>
      <c r="D17" s="78" t="s">
        <v>23</v>
      </c>
      <c r="E17" s="79"/>
      <c r="F17" s="78"/>
      <c r="G17" s="80"/>
      <c r="H17" s="81">
        <v>3</v>
      </c>
      <c r="I17" s="81"/>
      <c r="J17" s="81"/>
      <c r="K17" s="81"/>
      <c r="L17" s="81"/>
      <c r="M17" s="81"/>
      <c r="N17" s="81"/>
      <c r="O17" s="82">
        <f>SUM(G17:M17)</f>
        <v>3</v>
      </c>
    </row>
    <row r="18">
      <c r="A18" s="60"/>
      <c r="B18" s="83" t="s">
        <v>27</v>
      </c>
      <c r="C18" s="77"/>
      <c r="D18" s="78" t="s">
        <v>23</v>
      </c>
      <c r="E18" s="79"/>
      <c r="F18" s="78"/>
      <c r="G18" s="80"/>
      <c r="H18" s="81">
        <v>1</v>
      </c>
      <c r="I18" s="81"/>
      <c r="J18" s="81"/>
      <c r="K18" s="81"/>
      <c r="L18" s="81"/>
      <c r="M18" s="81"/>
      <c r="N18" s="81"/>
      <c r="O18" s="82">
        <f>SUM(G18:M18)</f>
        <v>1</v>
      </c>
    </row>
    <row r="19">
      <c r="A19" s="60"/>
      <c r="B19" s="83" t="s">
        <v>28</v>
      </c>
      <c r="C19" s="77"/>
      <c r="D19" s="78" t="s">
        <v>23</v>
      </c>
      <c r="E19" s="79"/>
      <c r="F19" s="78"/>
      <c r="G19" s="80"/>
      <c r="H19" s="81">
        <v>0.5</v>
      </c>
      <c r="I19" s="81"/>
      <c r="J19" s="81"/>
      <c r="K19" s="81"/>
      <c r="L19" s="81"/>
      <c r="M19" s="81"/>
      <c r="N19" s="81"/>
      <c r="O19" s="82">
        <f>SUM(G19:M19)</f>
        <v>0.5</v>
      </c>
    </row>
    <row r="20">
      <c r="A20" s="60"/>
      <c r="B20" s="83" t="s">
        <v>29</v>
      </c>
      <c r="C20" s="77"/>
      <c r="D20" s="78" t="s">
        <v>23</v>
      </c>
      <c r="E20" s="79"/>
      <c r="F20" s="78"/>
      <c r="G20" s="80"/>
      <c r="H20" s="81"/>
      <c r="I20" s="81">
        <v>1.5</v>
      </c>
      <c r="J20" s="81"/>
      <c r="K20" s="81"/>
      <c r="L20" s="81"/>
      <c r="M20" s="81"/>
      <c r="N20" s="81"/>
      <c r="O20" s="82">
        <f>SUM(G20:M20)</f>
        <v>1.5</v>
      </c>
    </row>
    <row r="21">
      <c r="A21" s="60"/>
      <c r="B21" s="83" t="s">
        <v>26</v>
      </c>
      <c r="C21" s="77"/>
      <c r="D21" s="78" t="s">
        <v>23</v>
      </c>
      <c r="E21" s="79"/>
      <c r="F21" s="78"/>
      <c r="G21" s="80"/>
      <c r="H21" s="81"/>
      <c r="I21" s="81">
        <v>1.5</v>
      </c>
      <c r="J21" s="81"/>
      <c r="K21" s="81"/>
      <c r="L21" s="81"/>
      <c r="M21" s="81"/>
      <c r="N21" s="81"/>
      <c r="O21" s="82">
        <f>SUM(G21:M21)</f>
        <v>1.5</v>
      </c>
    </row>
    <row r="22">
      <c r="A22" s="60"/>
      <c r="B22" s="83" t="s">
        <v>30</v>
      </c>
      <c r="C22" s="77"/>
      <c r="D22" s="78" t="s">
        <v>23</v>
      </c>
      <c r="E22" s="79"/>
      <c r="F22" s="78"/>
      <c r="G22" s="80"/>
      <c r="H22" s="81"/>
      <c r="I22" s="81">
        <v>0.5</v>
      </c>
      <c r="J22" s="81"/>
      <c r="K22" s="81"/>
      <c r="L22" s="81"/>
      <c r="M22" s="81"/>
      <c r="N22" s="81"/>
      <c r="O22" s="82">
        <f>SUM(G22:M22)</f>
        <v>0.5</v>
      </c>
    </row>
    <row r="23">
      <c r="A23" s="60"/>
      <c r="B23" s="83" t="s">
        <v>26</v>
      </c>
      <c r="C23" s="77"/>
      <c r="D23" s="78" t="s">
        <v>23</v>
      </c>
      <c r="E23" s="79"/>
      <c r="F23" s="78"/>
      <c r="G23" s="80"/>
      <c r="H23" s="81"/>
      <c r="I23" s="81">
        <v>2</v>
      </c>
      <c r="J23" s="81"/>
      <c r="K23" s="81"/>
      <c r="L23" s="81"/>
      <c r="M23" s="81"/>
      <c r="N23" s="81"/>
      <c r="O23" s="82">
        <f>SUM(G23:M23)</f>
        <v>2</v>
      </c>
    </row>
    <row r="24">
      <c r="A24" s="60"/>
      <c r="B24" s="83" t="s">
        <v>31</v>
      </c>
      <c r="C24" s="77"/>
      <c r="D24" s="78" t="s">
        <v>23</v>
      </c>
      <c r="E24" s="79"/>
      <c r="F24" s="78"/>
      <c r="G24" s="80"/>
      <c r="H24" s="81"/>
      <c r="I24" s="81">
        <v>2</v>
      </c>
      <c r="J24" s="81"/>
      <c r="K24" s="81"/>
      <c r="L24" s="81"/>
      <c r="M24" s="81"/>
      <c r="N24" s="81"/>
      <c r="O24" s="82">
        <f>SUM(G24:M24)</f>
        <v>2</v>
      </c>
    </row>
    <row r="25">
      <c r="A25" s="60"/>
      <c r="B25" s="83" t="s">
        <v>32</v>
      </c>
      <c r="C25" s="77"/>
      <c r="D25" s="78" t="s">
        <v>23</v>
      </c>
      <c r="E25" s="79"/>
      <c r="F25" s="78"/>
      <c r="G25" s="80"/>
      <c r="H25" s="81"/>
      <c r="I25" s="81">
        <v>0.75</v>
      </c>
      <c r="J25" s="81"/>
      <c r="K25" s="81"/>
      <c r="L25" s="81"/>
      <c r="M25" s="81"/>
      <c r="N25" s="81"/>
      <c r="O25" s="82">
        <f>SUM(G25:M25)</f>
        <v>0.75</v>
      </c>
    </row>
    <row r="26">
      <c r="A26" s="60"/>
      <c r="B26" s="83" t="s">
        <v>33</v>
      </c>
      <c r="C26" s="77"/>
      <c r="D26" s="78" t="s">
        <v>23</v>
      </c>
      <c r="E26" s="79"/>
      <c r="F26" s="78"/>
      <c r="G26" s="80"/>
      <c r="H26" s="81"/>
      <c r="I26" s="81">
        <v>0.5</v>
      </c>
      <c r="J26" s="81"/>
      <c r="K26" s="81"/>
      <c r="L26" s="81"/>
      <c r="M26" s="81"/>
      <c r="N26" s="81"/>
      <c r="O26" s="82">
        <f>SUM(G26:M26)</f>
        <v>0.5</v>
      </c>
    </row>
    <row r="27">
      <c r="A27" s="60"/>
      <c r="B27" s="83" t="s">
        <v>34</v>
      </c>
      <c r="C27" s="77"/>
      <c r="D27" s="78" t="s">
        <v>23</v>
      </c>
      <c r="E27" s="79"/>
      <c r="F27" s="78"/>
      <c r="G27" s="80"/>
      <c r="H27" s="81"/>
      <c r="I27" s="81"/>
      <c r="J27" s="81">
        <v>3</v>
      </c>
      <c r="K27" s="81"/>
      <c r="L27" s="81"/>
      <c r="M27" s="81"/>
      <c r="N27" s="81"/>
      <c r="O27" s="82">
        <f>SUM(G27:M27)</f>
        <v>3</v>
      </c>
    </row>
    <row r="28">
      <c r="A28" s="60"/>
      <c r="B28" s="83" t="s">
        <v>35</v>
      </c>
      <c r="C28" s="77"/>
      <c r="D28" s="78" t="s">
        <v>23</v>
      </c>
      <c r="E28" s="79"/>
      <c r="F28" s="78"/>
      <c r="G28" s="80"/>
      <c r="H28" s="81"/>
      <c r="I28" s="81"/>
      <c r="J28" s="81">
        <v>2.5</v>
      </c>
      <c r="K28" s="81"/>
      <c r="L28" s="81"/>
      <c r="M28" s="81"/>
      <c r="N28" s="81"/>
      <c r="O28" s="82">
        <f>SUM(G28:M28)</f>
        <v>2.5</v>
      </c>
    </row>
    <row r="29">
      <c r="A29" s="60"/>
      <c r="B29" s="83" t="s">
        <v>36</v>
      </c>
      <c r="C29" s="77"/>
      <c r="D29" s="78" t="s">
        <v>23</v>
      </c>
      <c r="E29" s="79"/>
      <c r="F29" s="78"/>
      <c r="G29" s="80"/>
      <c r="H29" s="81"/>
      <c r="I29" s="81"/>
      <c r="J29" s="81">
        <v>1.25</v>
      </c>
      <c r="K29" s="81"/>
      <c r="L29" s="81"/>
      <c r="M29" s="81"/>
      <c r="N29" s="81"/>
      <c r="O29" s="82">
        <f>SUM(G29:M29)</f>
        <v>1.25</v>
      </c>
    </row>
    <row r="30">
      <c r="A30" s="60"/>
      <c r="B30" s="83" t="s">
        <v>37</v>
      </c>
      <c r="C30" s="77"/>
      <c r="D30" s="78" t="s">
        <v>23</v>
      </c>
      <c r="E30" s="79"/>
      <c r="F30" s="78"/>
      <c r="G30" s="80"/>
      <c r="H30" s="81"/>
      <c r="I30" s="81"/>
      <c r="J30" s="81"/>
      <c r="K30" s="81">
        <v>3.5</v>
      </c>
      <c r="L30" s="81"/>
      <c r="M30" s="81"/>
      <c r="N30" s="81"/>
      <c r="O30" s="82">
        <f>SUM(G30:M30)</f>
        <v>3.5</v>
      </c>
    </row>
    <row r="31">
      <c r="A31" s="60"/>
      <c r="B31" s="83" t="s">
        <v>38</v>
      </c>
      <c r="C31" s="77"/>
      <c r="D31" s="78" t="s">
        <v>23</v>
      </c>
      <c r="E31" s="79"/>
      <c r="F31" s="78"/>
      <c r="G31" s="80"/>
      <c r="H31" s="81"/>
      <c r="I31" s="81"/>
      <c r="J31" s="81"/>
      <c r="K31" s="81">
        <v>2.75</v>
      </c>
      <c r="L31" s="81"/>
      <c r="M31" s="81"/>
      <c r="N31" s="81"/>
      <c r="O31" s="82">
        <f>SUM(G31:M31)</f>
        <v>2.75</v>
      </c>
    </row>
    <row r="32" ht="15" customHeight="1">
      <c r="A32" s="43"/>
      <c r="B32" s="32"/>
      <c r="C32" s="32"/>
      <c r="D32" s="32"/>
      <c r="E32" s="32"/>
      <c r="F32" s="32"/>
      <c r="G32" s="42"/>
      <c r="H32" s="42"/>
      <c r="I32" s="42"/>
      <c r="J32" s="42"/>
      <c r="K32" s="42"/>
      <c r="L32" s="42"/>
      <c r="M32" s="42"/>
      <c r="N32" s="42"/>
      <c r="O32" s="42"/>
    </row>
    <row r="33" ht="16.5" customHeight="1">
      <c r="A33" s="52" t="s">
        <v>39</v>
      </c>
      <c r="B33" s="53"/>
      <c r="C33" s="75"/>
      <c r="D33" s="31"/>
      <c r="E33" s="31"/>
      <c r="F33" s="31"/>
      <c r="G33" s="54">
        <f>SUM(G14:G32)</f>
        <v>0</v>
      </c>
      <c r="H33" s="54">
        <f>SUM(H14:H32)</f>
        <v>5.75</v>
      </c>
      <c r="I33" s="54">
        <f>SUM(I14:I32)</f>
        <v>8.75</v>
      </c>
      <c r="J33" s="54">
        <f>SUM(J14:J32)</f>
        <v>6.75</v>
      </c>
      <c r="K33" s="54">
        <f>SUM(K14:K32)</f>
        <v>6.25</v>
      </c>
      <c r="L33" s="54">
        <f>SUM(L14:L32)</f>
        <v>0</v>
      </c>
      <c r="M33" s="54">
        <f>SUM(M14:M32)</f>
        <v>0</v>
      </c>
      <c r="N33" s="54">
        <f>SUM(N14:N32)</f>
        <v>0</v>
      </c>
      <c r="O33" s="54">
        <f>SUM(O14:O32)</f>
        <v>27.5</v>
      </c>
      <c r="P33" s="51">
        <f>SUM(N33:O33)</f>
        <v>27.5</v>
      </c>
    </row>
    <row r="34" ht="14.25" customHeight="1"/>
    <row r="35" ht="14.25" customHeight="1">
      <c r="A35" s="33" t="s">
        <v>40</v>
      </c>
      <c r="B35" s="34"/>
      <c r="C35" s="34"/>
      <c r="D35" s="35"/>
      <c r="E35" s="35"/>
      <c r="F35" s="35"/>
      <c r="G35" s="35"/>
      <c r="H35" s="35"/>
      <c r="I35" s="35"/>
      <c r="J35" s="35"/>
      <c r="K35" s="36" t="s">
        <v>41</v>
      </c>
      <c r="L35" s="37"/>
      <c r="M35" s="16"/>
    </row>
    <row r="36" ht="14.25" customHeight="1">
      <c r="A36" s="38"/>
      <c r="B36" s="47" t="s">
        <v>9</v>
      </c>
      <c r="D36" s="0" t="s">
        <v>42</v>
      </c>
      <c r="K36" s="39"/>
      <c r="L36" s="86">
        <v>46215</v>
      </c>
      <c r="M36" s="87"/>
    </row>
    <row r="37" ht="14.25" customHeight="1">
      <c r="A37" s="33" t="s">
        <v>43</v>
      </c>
      <c r="B37" s="34"/>
      <c r="C37" s="34"/>
      <c r="D37" s="35"/>
      <c r="E37" s="35"/>
      <c r="F37" s="35"/>
      <c r="G37" s="35"/>
      <c r="H37" s="35"/>
      <c r="I37" s="35"/>
      <c r="J37" s="35"/>
      <c r="K37" s="36" t="s">
        <v>41</v>
      </c>
      <c r="L37" s="37"/>
      <c r="M37" s="16"/>
    </row>
    <row r="38" ht="14.25" customHeight="1">
      <c r="A38" s="38"/>
      <c r="K38" s="39"/>
      <c r="L38" s="40"/>
      <c r="M38" s="41"/>
    </row>
    <row r="39" ht="14.25" customHeight="1">
      <c r="A39" s="36" t="s">
        <v>44</v>
      </c>
      <c r="B39" s="35"/>
      <c r="C39" s="35"/>
      <c r="D39" s="35"/>
      <c r="E39" s="35"/>
      <c r="F39" s="35"/>
      <c r="G39" s="35"/>
      <c r="H39" s="35"/>
      <c r="I39" s="35"/>
      <c r="J39" s="35"/>
      <c r="K39" s="36" t="s">
        <v>41</v>
      </c>
      <c r="L39" s="35"/>
      <c r="M39" s="16"/>
    </row>
    <row r="40" ht="14.25" customHeight="1">
      <c r="A40" s="39"/>
      <c r="B40" s="40"/>
      <c r="C40" s="40"/>
      <c r="D40" s="40"/>
      <c r="E40" s="40"/>
      <c r="F40" s="40"/>
      <c r="G40" s="40"/>
      <c r="H40" s="40"/>
      <c r="I40" s="40"/>
      <c r="J40" s="40"/>
      <c r="K40" s="39"/>
      <c r="L40" s="40"/>
      <c r="M40" s="41"/>
    </row>
    <row r="41">
      <c r="A41" s="0" t="s">
        <v>45</v>
      </c>
    </row>
  </sheetData>
  <mergeCells>
    <mergeCell ref="L36:M36"/>
    <mergeCell ref="M1:O4"/>
    <mergeCell ref="G8:H8"/>
    <mergeCell ref="I8:J8"/>
  </mergeCells>
  <phoneticPr fontId="0" type="noConversion"/>
  <printOptions horizontalCentered="1" verticalCentered="1"/>
  <pageMargins left="0.14000000000000001" right="0.12" top="0.54" bottom="0.47" header="0.5" footer="0.38"/>
  <pageSetup scale="91" orientation="landscape"/>
  <headerFooter alignWithMargins="0"/>
  <drawing r:id="rId2"/>
  <oleObjects>
    <mc:AlternateContent xmlns:mc="http://schemas.openxmlformats.org/markup-compatibility/2006">
      <mc:Choice Requires="x14">
        <oleObject progId="Wordpad.Document.1" shapeId="14337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4337" r:id="rId4"/>
      </mc:Fallback>
    </mc:AlternateContent>
    <mc:AlternateContent xmlns:mc="http://schemas.openxmlformats.org/markup-compatibility/2006">
      <mc:Choice Requires="x14">
        <oleObject progId="Wordpad.Document.1" shapeId="14340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4340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8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35"/>
  <sheetViews>
    <sheetView tabSelected="1" zoomScale="75" workbookViewId="0">
      <selection activeCell="B19" sqref="B19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hidden="1" width="7.42578125" customWidth="1"/>
    <col min="5" max="5" width="10.5703125" customWidth="1"/>
    <col min="6" max="6" width="8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1.7109375" customWidth="1"/>
    <col min="15" max="15" width="11" customWidth="1"/>
  </cols>
  <sheetData>
    <row r="1" ht="17.25" customHeight="1">
      <c r="A1" s="71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88" t="s">
        <v>0</v>
      </c>
      <c r="N1" s="88"/>
      <c r="O1" s="88"/>
    </row>
    <row r="2" ht="22.5" customHeight="1">
      <c r="A2" s="70"/>
      <c r="B2" s="70"/>
      <c r="C2" s="70"/>
      <c r="D2" s="72"/>
      <c r="E2" s="72"/>
      <c r="F2" s="72"/>
      <c r="G2" s="84"/>
      <c r="H2" s="70"/>
      <c r="I2" s="70"/>
      <c r="J2" s="70"/>
      <c r="K2" s="70"/>
      <c r="L2" s="70"/>
      <c r="M2" s="88"/>
      <c r="N2" s="88"/>
      <c r="O2" s="88"/>
    </row>
    <row r="3" ht="18.75" customHeight="1">
      <c r="A3" s="70"/>
      <c r="B3" s="84" t="s">
        <v>1</v>
      </c>
      <c r="C3" s="70"/>
      <c r="D3" s="72"/>
      <c r="E3" s="72"/>
      <c r="F3" s="72"/>
      <c r="G3" s="85"/>
      <c r="H3" s="70"/>
      <c r="I3" s="70"/>
      <c r="J3" s="70"/>
      <c r="K3" s="70"/>
      <c r="L3" s="70"/>
      <c r="M3" s="88"/>
      <c r="N3" s="88"/>
      <c r="O3" s="88"/>
    </row>
    <row r="4" ht="21" customHeight="1">
      <c r="A4" s="70"/>
      <c r="B4" s="85" t="s">
        <v>2</v>
      </c>
      <c r="C4" s="70"/>
      <c r="D4" s="70"/>
      <c r="E4" s="70"/>
      <c r="F4" s="70"/>
      <c r="G4" s="84"/>
      <c r="H4" s="70"/>
      <c r="I4" s="70"/>
      <c r="J4" s="70"/>
      <c r="K4" s="70"/>
      <c r="L4" s="70"/>
      <c r="M4" s="88"/>
      <c r="N4" s="88"/>
      <c r="O4" s="88"/>
    </row>
    <row r="5" ht="18.75" customHeight="1">
      <c r="A5" s="70"/>
      <c r="B5" s="84" t="s">
        <v>3</v>
      </c>
      <c r="C5" s="70"/>
      <c r="D5" s="70"/>
      <c r="E5" s="70"/>
      <c r="F5" s="70"/>
      <c r="G5" s="70"/>
      <c r="H5" s="70"/>
      <c r="I5" s="70"/>
      <c r="J5" s="70"/>
      <c r="K5" s="70"/>
      <c r="L5" s="70"/>
    </row>
    <row r="7" ht="16.5" customHeight="1" s="22" customFormat="1">
      <c r="A7" s="14" t="s">
        <v>4</v>
      </c>
      <c r="B7" s="15"/>
      <c r="C7" s="15"/>
      <c r="D7" s="16"/>
      <c r="E7" s="35"/>
      <c r="F7" s="35"/>
      <c r="G7" s="17" t="s">
        <v>5</v>
      </c>
      <c r="H7" s="18"/>
      <c r="I7" s="17" t="s">
        <v>6</v>
      </c>
      <c r="J7" s="18"/>
      <c r="K7" s="17" t="s">
        <v>7</v>
      </c>
      <c r="L7" s="18"/>
      <c r="M7" s="19"/>
      <c r="N7" s="20" t="s">
        <v>8</v>
      </c>
      <c r="O7" s="21"/>
    </row>
    <row r="8" ht="16.5" customHeight="1">
      <c r="A8" s="23" t="s">
        <v>9</v>
      </c>
      <c r="B8" s="24"/>
      <c r="C8" s="24"/>
      <c r="D8" s="25"/>
      <c r="E8" s="74"/>
      <c r="F8" s="74"/>
      <c r="G8" s="89" t="s">
        <v>10</v>
      </c>
      <c r="H8" s="90"/>
      <c r="I8" s="91" t="s">
        <v>11</v>
      </c>
      <c r="J8" s="92"/>
      <c r="K8" s="26">
        <v>46214</v>
      </c>
      <c r="L8" s="27"/>
      <c r="M8" s="28"/>
      <c r="N8" s="29" t="s">
        <v>12</v>
      </c>
      <c r="O8" s="30"/>
    </row>
    <row r="9" ht="16.5" customHeight="1"/>
    <row r="10" ht="16.5" customHeight="1">
      <c r="A10" s="48" t="s">
        <v>13</v>
      </c>
      <c r="B10" s="49"/>
      <c r="C10" s="49"/>
      <c r="D10" s="44"/>
      <c r="E10" s="44"/>
      <c r="F10" s="44"/>
      <c r="G10" s="61">
        <f ref="G10:M10" t="shared" si="0">G11</f>
        <v>46208</v>
      </c>
      <c r="H10" s="61">
        <f t="shared" si="0"/>
        <v>46209</v>
      </c>
      <c r="I10" s="61">
        <f t="shared" si="0"/>
        <v>46210</v>
      </c>
      <c r="J10" s="61">
        <f t="shared" si="0"/>
        <v>46211</v>
      </c>
      <c r="K10" s="61">
        <f t="shared" si="0"/>
        <v>46212</v>
      </c>
      <c r="L10" s="61">
        <f t="shared" si="0"/>
        <v>46213</v>
      </c>
      <c r="M10" s="61">
        <f t="shared" si="0"/>
        <v>46214</v>
      </c>
      <c r="N10" s="45" t="s">
        <v>14</v>
      </c>
      <c r="O10" s="46"/>
    </row>
    <row r="11" ht="16.5" customHeight="1">
      <c r="A11" s="50"/>
      <c r="B11" s="73" t="s">
        <v>15</v>
      </c>
      <c r="C11" s="59" t="s">
        <v>16</v>
      </c>
      <c r="D11" s="69" t="s">
        <v>17</v>
      </c>
      <c r="E11" s="69" t="s">
        <v>18</v>
      </c>
      <c r="F11" s="69" t="s">
        <v>19</v>
      </c>
      <c r="G11" s="62">
        <f ref="G11:L11" t="shared" si="1">H11-1</f>
        <v>46208</v>
      </c>
      <c r="H11" s="62">
        <f t="shared" si="1"/>
        <v>46209</v>
      </c>
      <c r="I11" s="62">
        <f t="shared" si="1"/>
        <v>46210</v>
      </c>
      <c r="J11" s="62">
        <f t="shared" si="1"/>
        <v>46211</v>
      </c>
      <c r="K11" s="62">
        <f t="shared" si="1"/>
        <v>46212</v>
      </c>
      <c r="L11" s="62">
        <f t="shared" si="1"/>
        <v>46213</v>
      </c>
      <c r="M11" s="62">
        <f>K8</f>
        <v>46214</v>
      </c>
      <c r="N11" s="58" t="s">
        <v>20</v>
      </c>
      <c r="O11" s="58" t="s">
        <v>21</v>
      </c>
    </row>
    <row r="12" ht="10.5" customHeight="1">
      <c r="A12" s="55"/>
      <c r="B12" s="47"/>
      <c r="C12" s="47"/>
      <c r="D12" s="56"/>
      <c r="E12" s="56"/>
      <c r="F12" s="56"/>
      <c r="G12" s="63"/>
      <c r="H12" s="63"/>
      <c r="I12" s="63"/>
      <c r="J12" s="63"/>
      <c r="K12" s="63"/>
      <c r="L12" s="63"/>
      <c r="M12" s="63"/>
      <c r="N12" s="57"/>
      <c r="O12" s="57"/>
    </row>
    <row r="13" ht="0.75" customHeight="1">
      <c r="A13" s="64"/>
      <c r="B13" s="65"/>
      <c r="C13" s="65"/>
      <c r="D13" s="66"/>
      <c r="E13" s="66"/>
      <c r="F13" s="66"/>
      <c r="G13" s="67"/>
      <c r="H13" s="67"/>
      <c r="I13" s="67"/>
      <c r="J13" s="67"/>
      <c r="K13" s="67"/>
      <c r="L13" s="67"/>
      <c r="M13" s="67"/>
      <c r="N13" s="68"/>
      <c r="O13" s="68"/>
    </row>
    <row r="14">
      <c r="A14" s="60"/>
      <c r="B14" s="76" t="s">
        <v>46</v>
      </c>
      <c r="C14" s="77"/>
      <c r="D14" s="78" t="s">
        <v>23</v>
      </c>
      <c r="E14" s="79"/>
      <c r="F14" s="78"/>
      <c r="G14" s="80"/>
      <c r="H14" s="81">
        <v>0.75</v>
      </c>
      <c r="I14" s="81"/>
      <c r="J14" s="81"/>
      <c r="K14" s="81"/>
      <c r="L14" s="81"/>
      <c r="M14" s="81"/>
      <c r="N14" s="81"/>
      <c r="O14" s="82">
        <f>SUM(G14:M14)</f>
        <v>0.75</v>
      </c>
    </row>
    <row r="15">
      <c r="A15" s="60"/>
      <c r="B15" s="76" t="s">
        <v>47</v>
      </c>
      <c r="C15" s="77"/>
      <c r="D15" s="78" t="s">
        <v>23</v>
      </c>
      <c r="E15" s="79"/>
      <c r="F15" s="78"/>
      <c r="G15" s="80"/>
      <c r="H15" s="81">
        <v>1.5</v>
      </c>
      <c r="I15" s="81"/>
      <c r="J15" s="81"/>
      <c r="K15" s="81"/>
      <c r="L15" s="81"/>
      <c r="M15" s="81"/>
      <c r="N15" s="81"/>
      <c r="O15" s="82">
        <f>SUM(G15:M15)</f>
        <v>1.5</v>
      </c>
    </row>
    <row r="16">
      <c r="A16" s="60"/>
      <c r="B16" s="76" t="s">
        <v>48</v>
      </c>
      <c r="C16" s="77"/>
      <c r="D16" s="78" t="s">
        <v>23</v>
      </c>
      <c r="E16" s="79"/>
      <c r="F16" s="78"/>
      <c r="G16" s="80"/>
      <c r="H16" s="81"/>
      <c r="I16" s="81">
        <v>3</v>
      </c>
      <c r="J16" s="81"/>
      <c r="K16" s="81"/>
      <c r="L16" s="81"/>
      <c r="M16" s="81"/>
      <c r="N16" s="81"/>
      <c r="O16" s="82">
        <f>SUM(G16:M16)</f>
        <v>3</v>
      </c>
    </row>
    <row r="17">
      <c r="A17" s="60"/>
      <c r="B17" s="76" t="s">
        <v>49</v>
      </c>
      <c r="C17" s="77"/>
      <c r="D17" s="78" t="s">
        <v>23</v>
      </c>
      <c r="E17" s="79"/>
      <c r="F17" s="78"/>
      <c r="G17" s="80"/>
      <c r="H17" s="81"/>
      <c r="I17" s="81">
        <v>0.5</v>
      </c>
      <c r="J17" s="81"/>
      <c r="K17" s="81"/>
      <c r="L17" s="81"/>
      <c r="M17" s="81"/>
      <c r="N17" s="81"/>
      <c r="O17" s="82">
        <f>SUM(G17:M17)</f>
        <v>0.5</v>
      </c>
    </row>
    <row r="18">
      <c r="A18" s="60"/>
      <c r="B18" s="76" t="s">
        <v>50</v>
      </c>
      <c r="C18" s="77"/>
      <c r="D18" s="78" t="s">
        <v>23</v>
      </c>
      <c r="E18" s="79"/>
      <c r="F18" s="78"/>
      <c r="G18" s="80"/>
      <c r="H18" s="81"/>
      <c r="I18" s="81"/>
      <c r="J18" s="81">
        <v>2</v>
      </c>
      <c r="K18" s="81"/>
      <c r="L18" s="81"/>
      <c r="M18" s="81"/>
      <c r="N18" s="81"/>
      <c r="O18" s="82">
        <f>SUM(G18:M18)</f>
        <v>2</v>
      </c>
    </row>
    <row r="19">
      <c r="A19" s="60"/>
      <c r="B19" s="76" t="s">
        <v>51</v>
      </c>
      <c r="C19" s="77"/>
      <c r="D19" s="78" t="s">
        <v>23</v>
      </c>
      <c r="E19" s="79"/>
      <c r="F19" s="78"/>
      <c r="G19" s="80"/>
      <c r="H19" s="81"/>
      <c r="I19" s="81"/>
      <c r="J19" s="81">
        <v>0.25</v>
      </c>
      <c r="K19" s="81"/>
      <c r="L19" s="81"/>
      <c r="M19" s="81"/>
      <c r="N19" s="81"/>
      <c r="O19" s="82">
        <f>SUM(G19:M19)</f>
        <v>0.25</v>
      </c>
    </row>
    <row r="20">
      <c r="A20" s="60"/>
      <c r="B20" s="76" t="s">
        <v>52</v>
      </c>
      <c r="C20" s="77"/>
      <c r="D20" s="78" t="s">
        <v>23</v>
      </c>
      <c r="E20" s="79"/>
      <c r="F20" s="78"/>
      <c r="G20" s="80"/>
      <c r="H20" s="81"/>
      <c r="I20" s="81"/>
      <c r="J20" s="81"/>
      <c r="K20" s="81">
        <v>1</v>
      </c>
      <c r="L20" s="81"/>
      <c r="M20" s="81"/>
      <c r="N20" s="81"/>
      <c r="O20" s="82">
        <f>SUM(G20:M20)</f>
        <v>1</v>
      </c>
    </row>
    <row r="21">
      <c r="A21" s="60"/>
      <c r="B21" s="76" t="s">
        <v>53</v>
      </c>
      <c r="C21" s="77"/>
      <c r="D21" s="78" t="s">
        <v>23</v>
      </c>
      <c r="E21" s="79"/>
      <c r="F21" s="78"/>
      <c r="G21" s="80"/>
      <c r="H21" s="81"/>
      <c r="I21" s="81"/>
      <c r="J21" s="81"/>
      <c r="K21" s="81">
        <v>0.75</v>
      </c>
      <c r="L21" s="81"/>
      <c r="M21" s="81"/>
      <c r="N21" s="81"/>
      <c r="O21" s="82">
        <f>SUM(G21:M21)</f>
        <v>0.75</v>
      </c>
    </row>
    <row r="22">
      <c r="A22" s="60"/>
      <c r="B22" s="76" t="s">
        <v>54</v>
      </c>
      <c r="C22" s="77"/>
      <c r="D22" s="78" t="s">
        <v>23</v>
      </c>
      <c r="E22" s="79"/>
      <c r="F22" s="78"/>
      <c r="G22" s="80"/>
      <c r="H22" s="81"/>
      <c r="I22" s="81"/>
      <c r="J22" s="81"/>
      <c r="K22" s="81"/>
      <c r="L22" s="81">
        <v>2</v>
      </c>
      <c r="M22" s="81"/>
      <c r="N22" s="81"/>
      <c r="O22" s="82">
        <f>SUM(G22:M22)</f>
        <v>2</v>
      </c>
    </row>
    <row r="23">
      <c r="A23" s="60"/>
      <c r="B23" s="76" t="s">
        <v>55</v>
      </c>
      <c r="C23" s="77"/>
      <c r="D23" s="78" t="s">
        <v>23</v>
      </c>
      <c r="E23" s="79"/>
      <c r="F23" s="78"/>
      <c r="G23" s="80"/>
      <c r="H23" s="81"/>
      <c r="I23" s="81"/>
      <c r="J23" s="81"/>
      <c r="K23" s="81"/>
      <c r="L23" s="81">
        <v>2</v>
      </c>
      <c r="M23" s="81"/>
      <c r="N23" s="81"/>
      <c r="O23" s="82">
        <f>SUM(G23:M23)</f>
        <v>2</v>
      </c>
    </row>
    <row r="24">
      <c r="A24" s="60"/>
      <c r="B24" s="76" t="s">
        <v>56</v>
      </c>
      <c r="C24" s="77"/>
      <c r="D24" s="78" t="s">
        <v>23</v>
      </c>
      <c r="E24" s="79"/>
      <c r="F24" s="78"/>
      <c r="G24" s="80"/>
      <c r="H24" s="81"/>
      <c r="I24" s="81"/>
      <c r="J24" s="81"/>
      <c r="K24" s="81"/>
      <c r="L24" s="81">
        <v>0.25</v>
      </c>
      <c r="M24" s="81"/>
      <c r="N24" s="81"/>
      <c r="O24" s="82">
        <f>SUM(G24:M24)</f>
        <v>0.25</v>
      </c>
    </row>
    <row r="25">
      <c r="A25" s="60"/>
      <c r="B25" s="76" t="s">
        <v>57</v>
      </c>
      <c r="C25" s="77"/>
      <c r="D25" s="78" t="s">
        <v>23</v>
      </c>
      <c r="E25" s="79"/>
      <c r="F25" s="78"/>
      <c r="G25" s="80"/>
      <c r="H25" s="81"/>
      <c r="I25" s="81"/>
      <c r="J25" s="81"/>
      <c r="K25" s="81"/>
      <c r="L25" s="81">
        <v>1</v>
      </c>
      <c r="M25" s="81"/>
      <c r="N25" s="81"/>
      <c r="O25" s="82">
        <f>SUM(G25:M25)</f>
        <v>1</v>
      </c>
    </row>
    <row r="26" ht="15" customHeight="1">
      <c r="A26" s="43"/>
      <c r="B26" s="32"/>
      <c r="C26" s="32"/>
      <c r="D26" s="32"/>
      <c r="E26" s="32"/>
      <c r="F26" s="32"/>
      <c r="G26" s="42"/>
      <c r="H26" s="42"/>
      <c r="I26" s="42"/>
      <c r="J26" s="42"/>
      <c r="K26" s="42"/>
      <c r="L26" s="42"/>
      <c r="M26" s="42"/>
      <c r="N26" s="42"/>
      <c r="O26" s="42"/>
    </row>
    <row r="27" ht="16.5" customHeight="1">
      <c r="A27" s="52" t="s">
        <v>39</v>
      </c>
      <c r="B27" s="53"/>
      <c r="C27" s="75"/>
      <c r="D27" s="31"/>
      <c r="E27" s="31"/>
      <c r="F27" s="31"/>
      <c r="G27" s="54">
        <f>SUM(G14:G26)</f>
        <v>0</v>
      </c>
      <c r="H27" s="54">
        <f>SUM(H14:H26)</f>
        <v>2.25</v>
      </c>
      <c r="I27" s="54">
        <f>SUM(I14:I26)</f>
        <v>3.5</v>
      </c>
      <c r="J27" s="54">
        <f>SUM(J14:J26)</f>
        <v>2.25</v>
      </c>
      <c r="K27" s="54">
        <f>SUM(K14:K26)</f>
        <v>1.75</v>
      </c>
      <c r="L27" s="54">
        <f>SUM(L14:L26)</f>
        <v>5.25</v>
      </c>
      <c r="M27" s="54">
        <f>SUM(M14:M26)</f>
        <v>0</v>
      </c>
      <c r="N27" s="54">
        <f>SUM(N14:N26)</f>
        <v>0</v>
      </c>
      <c r="O27" s="54">
        <f>SUM(O14:O26)</f>
        <v>15</v>
      </c>
      <c r="P27" s="51">
        <f>SUM(N27:O27)</f>
        <v>15</v>
      </c>
    </row>
    <row r="28" ht="14.25" customHeight="1"/>
    <row r="29" ht="14.25" customHeight="1">
      <c r="A29" s="33" t="s">
        <v>40</v>
      </c>
      <c r="B29" s="34"/>
      <c r="C29" s="34"/>
      <c r="D29" s="35"/>
      <c r="E29" s="35"/>
      <c r="F29" s="35"/>
      <c r="G29" s="35"/>
      <c r="H29" s="35"/>
      <c r="I29" s="35"/>
      <c r="J29" s="35"/>
      <c r="K29" s="36" t="s">
        <v>41</v>
      </c>
      <c r="L29" s="37"/>
      <c r="M29" s="16"/>
    </row>
    <row r="30" ht="14.25" customHeight="1">
      <c r="A30" s="38"/>
      <c r="B30" s="47" t="s">
        <v>9</v>
      </c>
      <c r="D30" s="0" t="s">
        <v>42</v>
      </c>
      <c r="K30" s="39"/>
      <c r="L30" s="86">
        <v>46215</v>
      </c>
      <c r="M30" s="87"/>
    </row>
    <row r="31" ht="14.25" customHeight="1">
      <c r="A31" s="33" t="s">
        <v>43</v>
      </c>
      <c r="B31" s="34"/>
      <c r="C31" s="34"/>
      <c r="D31" s="35"/>
      <c r="E31" s="35"/>
      <c r="F31" s="35"/>
      <c r="G31" s="35"/>
      <c r="H31" s="35"/>
      <c r="I31" s="35"/>
      <c r="J31" s="35"/>
      <c r="K31" s="36" t="s">
        <v>41</v>
      </c>
      <c r="L31" s="37"/>
      <c r="M31" s="16"/>
    </row>
    <row r="32" ht="14.25" customHeight="1">
      <c r="A32" s="38"/>
      <c r="K32" s="39"/>
      <c r="L32" s="40"/>
      <c r="M32" s="41"/>
    </row>
    <row r="33" ht="14.25" customHeight="1">
      <c r="A33" s="36" t="s">
        <v>44</v>
      </c>
      <c r="B33" s="35"/>
      <c r="C33" s="35"/>
      <c r="D33" s="35"/>
      <c r="E33" s="35"/>
      <c r="F33" s="35"/>
      <c r="G33" s="35"/>
      <c r="H33" s="35"/>
      <c r="I33" s="35"/>
      <c r="J33" s="35"/>
      <c r="K33" s="36" t="s">
        <v>41</v>
      </c>
      <c r="L33" s="35"/>
      <c r="M33" s="16"/>
    </row>
    <row r="34" ht="14.25" customHeight="1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39"/>
      <c r="L34" s="40"/>
      <c r="M34" s="41"/>
    </row>
    <row r="35">
      <c r="A35" s="0" t="s">
        <v>45</v>
      </c>
    </row>
  </sheetData>
  <mergeCells>
    <mergeCell ref="M1:O4"/>
    <mergeCell ref="G8:H8"/>
    <mergeCell ref="I8:J8"/>
    <mergeCell ref="L30:M30"/>
  </mergeCells>
  <printOptions horizontalCentered="1" verticalCentered="1"/>
  <pageMargins left="0.14000000000000001" right="0.12" top="0.54" bottom="0.47" header="0.5" footer="0.38"/>
  <pageSetup scale="91" orientation="landscape"/>
  <headerFooter alignWithMargins="0"/>
  <drawing r:id="rId2"/>
  <oleObjects>
    <mc:AlternateContent xmlns:mc="http://schemas.openxmlformats.org/markup-compatibility/2006">
      <mc:Choice Requires="x14">
        <oleObject progId="Wordpad.Document.1" shapeId="18433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8433" r:id="rId4"/>
      </mc:Fallback>
    </mc:AlternateContent>
    <mc:AlternateContent xmlns:mc="http://schemas.openxmlformats.org/markup-compatibility/2006">
      <mc:Choice Requires="x14">
        <oleObject progId="Wordpad.Document.1" shapeId="18436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8436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4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C1 W1</vt:lpstr>
      <vt:lpstr>C1 W2</vt:lpstr>
      <vt:lpstr>'C1 W1'!Print_Area</vt:lpstr>
      <vt:lpstr>'C1 W2'!Print_Area</vt:lpstr>
    </vt:vector>
  </TitlesOfParts>
  <Company>cdi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</dc:creator>
  <cp:lastModifiedBy>Greg Corron</cp:lastModifiedBy>
  <cp:lastPrinted>2008-04-29T20:27:42Z</cp:lastPrinted>
  <dcterms:created xsi:type="dcterms:W3CDTF">1997-01-20T19:21:16Z</dcterms:created>
  <dcterms:modified xsi:type="dcterms:W3CDTF">2026-07-12T14:22:25Z</dcterms:modified>
</cp:coreProperties>
</file>