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ctrlProps/ctrlProp11.xml" ContentType="application/vnd.ms-excel.controlproperties+xml"/>
  <Override PartName="/xl/ctrlProps/ctrlProp12.xml" ContentType="application/vnd.ms-excel.controlproperties+xml"/>
  <Override PartName="/xl/drawings/drawing7.xml" ContentType="application/vnd.openxmlformats-officedocument.drawing+xml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ctrlProps/ctrlProp13.xml" ContentType="application/vnd.ms-excel.controlproperties+xml"/>
  <Override PartName="/xl/ctrlProps/ctrlProp14.xml" ContentType="application/vnd.ms-excel.controlproperties+xml"/>
  <Override PartName="/xl/drawings/drawing8.xml" ContentType="application/vnd.openxmlformats-officedocument.drawing+xml"/>
  <Override PartName="/xl/embeddings/oleObject15.bin" ContentType="application/vnd.openxmlformats-officedocument.oleObject"/>
  <Override PartName="/xl/embeddings/oleObject16.bin" ContentType="application/vnd.openxmlformats-officedocument.oleObject"/>
  <Override PartName="/xl/ctrlProps/ctrlProp15.xml" ContentType="application/vnd.ms-excel.controlproperties+xml"/>
  <Override PartName="/xl/ctrlProps/ctrlProp1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gcorr\source\repos\TimeCardCore\TimeCardCore\wwwroot\content\"/>
    </mc:Choice>
  </mc:AlternateContent>
  <xr:revisionPtr revIDLastSave="0" documentId="13_ncr:1_{31548D41-18A9-4718-B53B-B98C8257D16B}" xr6:coauthVersionLast="47" xr6:coauthVersionMax="47" xr10:uidLastSave="{00000000-0000-0000-0000-000000000000}"/>
  <bookViews>
    <workbookView xWindow="-28920" yWindow="14640" windowWidth="29040" windowHeight="16440" activeTab="7" xr2:uid="{00000000-000D-0000-FFFF-FFFF00000000}"/>
  </bookViews>
  <sheets>
    <sheet name="C1 W1" sheetId="20" r:id="rId1"/>
    <sheet name="C1 W2" sheetId="24" r:id="rId2"/>
    <sheet name="C1 W3" sheetId="25" r:id="rId3"/>
    <sheet name="C1 W4" sheetId="26" r:id="rId4"/>
    <sheet name="C1 W5" sheetId="27" r:id="rId5"/>
    <sheet name="C1 W6" sheetId="28" r:id="rId6"/>
    <sheet name="C1 W7" sheetId="29" r:id="rId7"/>
    <sheet name="C1 W8" sheetId="30" r:id="rId8"/>
  </sheets>
  <definedNames>
    <definedName name="_xlnm.Print_Area" localSheetId="0">'C1 W1'!$A$1:$O$24</definedName>
    <definedName name="_xlnm.Print_Area" localSheetId="1">'C1 W2'!$A$1:$O$24</definedName>
    <definedName name="_xlnm.Print_Area" localSheetId="2">'C1 W3'!$A$1:$O$24</definedName>
    <definedName name="_xlnm.Print_Area" localSheetId="3">'C1 W4'!$A$1:$O$24</definedName>
    <definedName name="_xlnm.Print_Area" localSheetId="4">'C1 W5'!$A$1:$O$24</definedName>
    <definedName name="_xlnm.Print_Area" localSheetId="5">'C1 W6'!$A$1:$O$24</definedName>
    <definedName name="_xlnm.Print_Area" localSheetId="6">'C1 W7'!$A$1:$O$24</definedName>
    <definedName name="_xlnm.Print_Area" localSheetId="7">'C1 W8'!$A$1:$O$24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9" i="30" l="1"/>
  <c r="N16" i="30"/>
  <c r="M16" i="30"/>
  <c r="L16" i="30"/>
  <c r="K16" i="30"/>
  <c r="J16" i="30"/>
  <c r="I16" i="30"/>
  <c r="H16" i="30"/>
  <c r="G16" i="30"/>
  <c r="O14" i="30"/>
  <c r="O16" i="30" s="1"/>
  <c r="P16" i="30" s="1"/>
  <c r="M11" i="30"/>
  <c r="L11" i="30"/>
  <c r="K11" i="30" s="1"/>
  <c r="M10" i="30"/>
  <c r="L10" i="30"/>
  <c r="K8" i="30"/>
  <c r="L19" i="29"/>
  <c r="N16" i="29"/>
  <c r="M16" i="29"/>
  <c r="L16" i="29"/>
  <c r="K16" i="29"/>
  <c r="J16" i="29"/>
  <c r="I16" i="29"/>
  <c r="H16" i="29"/>
  <c r="G16" i="29"/>
  <c r="O14" i="29"/>
  <c r="O16" i="29" s="1"/>
  <c r="K8" i="29"/>
  <c r="M11" i="29" s="1"/>
  <c r="L19" i="28"/>
  <c r="N16" i="28"/>
  <c r="M16" i="28"/>
  <c r="L16" i="28"/>
  <c r="K16" i="28"/>
  <c r="J16" i="28"/>
  <c r="I16" i="28"/>
  <c r="H16" i="28"/>
  <c r="G16" i="28"/>
  <c r="O14" i="28"/>
  <c r="O16" i="28" s="1"/>
  <c r="P16" i="28" s="1"/>
  <c r="M11" i="28"/>
  <c r="L11" i="28"/>
  <c r="K11" i="28"/>
  <c r="J11" i="28"/>
  <c r="J10" i="28" s="1"/>
  <c r="I11" i="28"/>
  <c r="I10" i="28" s="1"/>
  <c r="H11" i="28"/>
  <c r="H10" i="28" s="1"/>
  <c r="G11" i="28"/>
  <c r="M10" i="28"/>
  <c r="L10" i="28"/>
  <c r="K10" i="28"/>
  <c r="G10" i="28"/>
  <c r="K8" i="28"/>
  <c r="L19" i="27"/>
  <c r="N16" i="27"/>
  <c r="M16" i="27"/>
  <c r="L16" i="27"/>
  <c r="K16" i="27"/>
  <c r="J16" i="27"/>
  <c r="I16" i="27"/>
  <c r="H16" i="27"/>
  <c r="G16" i="27"/>
  <c r="O14" i="27"/>
  <c r="O16" i="27" s="1"/>
  <c r="M11" i="27"/>
  <c r="L11" i="27"/>
  <c r="K11" i="27"/>
  <c r="K10" i="27" s="1"/>
  <c r="J11" i="27"/>
  <c r="J10" i="27" s="1"/>
  <c r="M10" i="27"/>
  <c r="L10" i="27"/>
  <c r="K8" i="27"/>
  <c r="L19" i="26"/>
  <c r="N16" i="26"/>
  <c r="M16" i="26"/>
  <c r="L16" i="26"/>
  <c r="K16" i="26"/>
  <c r="J16" i="26"/>
  <c r="I16" i="26"/>
  <c r="H16" i="26"/>
  <c r="G16" i="26"/>
  <c r="O14" i="26"/>
  <c r="O16" i="26" s="1"/>
  <c r="P16" i="26" s="1"/>
  <c r="M11" i="26"/>
  <c r="L11" i="26"/>
  <c r="K11" i="26"/>
  <c r="J11" i="26" s="1"/>
  <c r="M10" i="26"/>
  <c r="L10" i="26"/>
  <c r="K10" i="26"/>
  <c r="K8" i="26"/>
  <c r="L19" i="25"/>
  <c r="N16" i="25"/>
  <c r="M16" i="25"/>
  <c r="L16" i="25"/>
  <c r="K16" i="25"/>
  <c r="J16" i="25"/>
  <c r="I16" i="25"/>
  <c r="H16" i="25"/>
  <c r="G16" i="25"/>
  <c r="O14" i="25"/>
  <c r="O16" i="25" s="1"/>
  <c r="K8" i="25"/>
  <c r="M11" i="25" s="1"/>
  <c r="O14" i="24"/>
  <c r="O14" i="20"/>
  <c r="K10" i="30" l="1"/>
  <c r="J11" i="30"/>
  <c r="L11" i="29"/>
  <c r="M10" i="29"/>
  <c r="P16" i="29"/>
  <c r="P16" i="27"/>
  <c r="I11" i="27"/>
  <c r="J10" i="26"/>
  <c r="I11" i="26"/>
  <c r="L11" i="25"/>
  <c r="M10" i="25"/>
  <c r="P16" i="25"/>
  <c r="K8" i="24"/>
  <c r="J10" i="30" l="1"/>
  <c r="I11" i="30"/>
  <c r="L10" i="29"/>
  <c r="K11" i="29"/>
  <c r="I10" i="27"/>
  <c r="H11" i="27"/>
  <c r="I10" i="26"/>
  <c r="H11" i="26"/>
  <c r="L10" i="25"/>
  <c r="K11" i="25"/>
  <c r="L19" i="24"/>
  <c r="N16" i="24"/>
  <c r="M16" i="24"/>
  <c r="L16" i="24"/>
  <c r="K16" i="24"/>
  <c r="J16" i="24"/>
  <c r="I16" i="24"/>
  <c r="H16" i="24"/>
  <c r="G16" i="24"/>
  <c r="G16" i="20"/>
  <c r="H16" i="20"/>
  <c r="I16" i="20"/>
  <c r="J16" i="20"/>
  <c r="K16" i="20"/>
  <c r="L16" i="20"/>
  <c r="M16" i="20"/>
  <c r="N16" i="20"/>
  <c r="L19" i="20"/>
  <c r="I10" i="30" l="1"/>
  <c r="H11" i="30"/>
  <c r="K10" i="29"/>
  <c r="J11" i="29"/>
  <c r="H10" i="27"/>
  <c r="G11" i="27"/>
  <c r="G10" i="27" s="1"/>
  <c r="H10" i="26"/>
  <c r="G11" i="26"/>
  <c r="G10" i="26" s="1"/>
  <c r="K10" i="25"/>
  <c r="J11" i="25"/>
  <c r="O16" i="20"/>
  <c r="P16" i="20" s="1"/>
  <c r="O16" i="24"/>
  <c r="P16" i="24" s="1"/>
  <c r="H10" i="30" l="1"/>
  <c r="G11" i="30"/>
  <c r="G10" i="30" s="1"/>
  <c r="J10" i="29"/>
  <c r="I11" i="29"/>
  <c r="J10" i="25"/>
  <c r="I11" i="25"/>
  <c r="M11" i="20"/>
  <c r="L11" i="20" s="1"/>
  <c r="M11" i="24"/>
  <c r="M10" i="24" s="1"/>
  <c r="I10" i="29" l="1"/>
  <c r="H11" i="29"/>
  <c r="I10" i="25"/>
  <c r="H11" i="25"/>
  <c r="K11" i="20"/>
  <c r="L10" i="20"/>
  <c r="M10" i="20"/>
  <c r="L11" i="24"/>
  <c r="H10" i="29" l="1"/>
  <c r="G11" i="29"/>
  <c r="G10" i="29" s="1"/>
  <c r="H10" i="25"/>
  <c r="G11" i="25"/>
  <c r="G10" i="25" s="1"/>
  <c r="L10" i="24"/>
  <c r="K11" i="24"/>
  <c r="K10" i="20"/>
  <c r="J11" i="20"/>
  <c r="J10" i="20" l="1"/>
  <c r="I11" i="20"/>
  <c r="K10" i="24"/>
  <c r="J11" i="24"/>
  <c r="H11" i="20" l="1"/>
  <c r="I10" i="20"/>
  <c r="J10" i="24"/>
  <c r="I11" i="24"/>
  <c r="H11" i="24" l="1"/>
  <c r="I10" i="24"/>
  <c r="H10" i="20"/>
  <c r="G11" i="20"/>
  <c r="G10" i="20" s="1"/>
  <c r="G11" i="24" l="1"/>
  <c r="G10" i="24" s="1"/>
  <c r="H10" i="24"/>
</calcChain>
</file>

<file path=xl/sharedStrings.xml><?xml version="1.0" encoding="utf-8"?>
<sst xmlns="http://schemas.openxmlformats.org/spreadsheetml/2006/main" count="248" uniqueCount="29">
  <si>
    <t>Client Name</t>
  </si>
  <si>
    <t>Supervisor</t>
  </si>
  <si>
    <t>Week Ending</t>
  </si>
  <si>
    <t>Returning to work</t>
  </si>
  <si>
    <t>Assignment Completed</t>
  </si>
  <si>
    <t>Time Table:</t>
  </si>
  <si>
    <t>TOTAL HOURS</t>
  </si>
  <si>
    <t>Description of Work</t>
  </si>
  <si>
    <t>Non-Billable</t>
  </si>
  <si>
    <t>Billable</t>
  </si>
  <si>
    <t>TOTAL  HOURS:</t>
  </si>
  <si>
    <t>Date:</t>
  </si>
  <si>
    <t>Supervisor Approval:</t>
  </si>
  <si>
    <t>Approval verifies that you are duly authorized on behalf of the above Customer and that you certify that the work was performed in a satisfactory manner.</t>
  </si>
  <si>
    <t>Client Signature:</t>
  </si>
  <si>
    <t>TIME CARD</t>
  </si>
  <si>
    <t>Richard Bravo</t>
  </si>
  <si>
    <t>Alister Harris</t>
  </si>
  <si>
    <t>Code</t>
  </si>
  <si>
    <t>client</t>
  </si>
  <si>
    <t>Consultant Name</t>
  </si>
  <si>
    <t>Consultant Signature:</t>
  </si>
  <si>
    <t>Dept</t>
  </si>
  <si>
    <t>System</t>
  </si>
  <si>
    <t>2318 N Evergreen St</t>
  </si>
  <si>
    <t>Phoenix, AZ 85006</t>
  </si>
  <si>
    <t>310-569-1433</t>
  </si>
  <si>
    <t>Parker Fasteners</t>
  </si>
  <si>
    <t>Greg Corron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</si>
</sst>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-mmm\-yy"/>
    <numFmt numFmtId="165" formatCode="ddd"/>
    <numFmt numFmtId="166" formatCode="mm/dd/yy"/>
  </numFmts>
  <fonts count="2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i/>
      <sz val="9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sz val="26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10"/>
      <color indexed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9" fillId="0" borderId="0"/>
    <xf numFmtId="0" fontId="2" fillId="0" borderId="0"/>
    <xf numFmtId="0" fontId="20" fillId="0" borderId="0"/>
    <xf numFmtId="43" fontId="1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9" fillId="0" borderId="0"/>
    <xf numFmtId="0" fontId="2" fillId="0" borderId="0"/>
    <xf numFmtId="0" fontId="2" fillId="0" borderId="0"/>
    <xf numFmtId="0" fontId="2" fillId="0" borderId="0"/>
    <xf numFmtId="0" fontId="10" fillId="0" borderId="0"/>
    <xf numFmtId="43" fontId="19" fillId="0" borderId="0" applyFont="0" applyFill="0" applyBorder="0" applyAlignment="0" applyProtection="0"/>
  </cellStyleXfs>
  <cellXfs count="80">
    <xf numFmtId="0" fontId="0" fillId="0" borderId="0" xfId="0"/>
    <xf numFmtId="0" fontId="3" fillId="0" borderId="1" xfId="0" applyFont="1" applyBorder="1"/>
    <xf numFmtId="0" fontId="1" fillId="0" borderId="2" xfId="0" applyFont="1" applyBorder="1"/>
    <xf numFmtId="0" fontId="0" fillId="0" borderId="3" xfId="0" applyBorder="1"/>
    <xf numFmtId="0" fontId="1" fillId="0" borderId="1" xfId="0" applyFont="1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4" fillId="0" borderId="1" xfId="0" applyFont="1" applyBorder="1"/>
    <xf numFmtId="0" fontId="5" fillId="0" borderId="2" xfId="0" applyFont="1" applyBorder="1"/>
    <xf numFmtId="0" fontId="1" fillId="0" borderId="3" xfId="0" applyFont="1" applyBorder="1"/>
    <xf numFmtId="0" fontId="1" fillId="0" borderId="0" xfId="0" applyFont="1"/>
    <xf numFmtId="0" fontId="6" fillId="0" borderId="4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centerContinuous"/>
    </xf>
    <xf numFmtId="14" fontId="7" fillId="0" borderId="4" xfId="0" applyNumberFormat="1" applyFont="1" applyBorder="1" applyAlignment="1">
      <alignment horizontal="centerContinuous"/>
    </xf>
    <xf numFmtId="0" fontId="7" fillId="0" borderId="6" xfId="0" applyFont="1" applyBorder="1" applyAlignment="1">
      <alignment horizontal="centerContinuous"/>
    </xf>
    <xf numFmtId="0" fontId="4" fillId="0" borderId="4" xfId="0" applyFont="1" applyBorder="1"/>
    <xf numFmtId="0" fontId="5" fillId="0" borderId="5" xfId="0" applyFont="1" applyBorder="1"/>
    <xf numFmtId="0" fontId="1" fillId="0" borderId="6" xfId="0" applyFont="1" applyBorder="1"/>
    <xf numFmtId="0" fontId="0" fillId="0" borderId="7" xfId="0" applyBorder="1"/>
    <xf numFmtId="0" fontId="9" fillId="0" borderId="0" xfId="0" applyFont="1"/>
    <xf numFmtId="0" fontId="3" fillId="0" borderId="1" xfId="0" applyFont="1" applyBorder="1" applyAlignment="1">
      <alignment vertical="center"/>
    </xf>
    <xf numFmtId="0" fontId="10" fillId="0" borderId="2" xfId="0" applyFont="1" applyBorder="1"/>
    <xf numFmtId="0" fontId="0" fillId="0" borderId="2" xfId="0" applyBorder="1"/>
    <xf numFmtId="0" fontId="1" fillId="0" borderId="1" xfId="0" applyFont="1" applyBorder="1"/>
    <xf numFmtId="14" fontId="7" fillId="0" borderId="2" xfId="0" applyNumberFormat="1" applyFont="1" applyBorder="1"/>
    <xf numFmtId="0" fontId="0" fillId="0" borderId="8" xfId="0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2" fontId="9" fillId="0" borderId="0" xfId="0" applyNumberFormat="1" applyFont="1" applyAlignment="1">
      <alignment horizontal="center"/>
    </xf>
    <xf numFmtId="0" fontId="9" fillId="0" borderId="10" xfId="0" applyFont="1" applyBorder="1"/>
    <xf numFmtId="0" fontId="12" fillId="0" borderId="6" xfId="0" applyFont="1" applyBorder="1"/>
    <xf numFmtId="0" fontId="13" fillId="0" borderId="7" xfId="0" applyFont="1" applyBorder="1" applyAlignment="1">
      <alignment horizontal="centerContinuous"/>
    </xf>
    <xf numFmtId="0" fontId="12" fillId="0" borderId="7" xfId="0" applyFont="1" applyBorder="1" applyAlignment="1">
      <alignment horizontal="centerContinuous"/>
    </xf>
    <xf numFmtId="0" fontId="12" fillId="0" borderId="0" xfId="0" applyFont="1"/>
    <xf numFmtId="0" fontId="11" fillId="0" borderId="1" xfId="0" applyFont="1" applyBorder="1" applyAlignment="1">
      <alignment horizontal="centerContinuous"/>
    </xf>
    <xf numFmtId="0" fontId="12" fillId="0" borderId="2" xfId="0" applyFont="1" applyBorder="1" applyAlignment="1">
      <alignment horizontal="centerContinuous"/>
    </xf>
    <xf numFmtId="0" fontId="13" fillId="0" borderId="4" xfId="0" applyFont="1" applyBorder="1"/>
    <xf numFmtId="2" fontId="12" fillId="0" borderId="0" xfId="0" applyNumberFormat="1" applyFont="1"/>
    <xf numFmtId="0" fontId="8" fillId="0" borderId="4" xfId="0" applyFont="1" applyBorder="1" applyAlignment="1">
      <alignment horizontal="centerContinuous"/>
    </xf>
    <xf numFmtId="0" fontId="1" fillId="0" borderId="6" xfId="0" applyFont="1" applyBorder="1" applyAlignment="1">
      <alignment horizontal="centerContinuous"/>
    </xf>
    <xf numFmtId="2" fontId="7" fillId="0" borderId="7" xfId="0" applyNumberFormat="1" applyFon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7" xfId="0" applyFont="1" applyBorder="1" applyAlignment="1">
      <alignment horizontal="center"/>
    </xf>
    <xf numFmtId="0" fontId="12" fillId="0" borderId="5" xfId="0" applyFont="1" applyBorder="1"/>
    <xf numFmtId="0" fontId="16" fillId="0" borderId="4" xfId="0" applyFont="1" applyBorder="1"/>
    <xf numFmtId="165" fontId="12" fillId="0" borderId="7" xfId="0" applyNumberFormat="1" applyFont="1" applyBorder="1" applyAlignment="1">
      <alignment horizontal="center"/>
    </xf>
    <xf numFmtId="166" fontId="13" fillId="0" borderId="7" xfId="0" applyNumberFormat="1" applyFont="1" applyBorder="1" applyAlignment="1">
      <alignment horizontal="center"/>
    </xf>
    <xf numFmtId="166" fontId="13" fillId="0" borderId="0" xfId="0" applyNumberFormat="1" applyFont="1" applyAlignment="1">
      <alignment horizontal="center"/>
    </xf>
    <xf numFmtId="0" fontId="13" fillId="2" borderId="0" xfId="0" applyFont="1" applyFill="1"/>
    <xf numFmtId="0" fontId="12" fillId="2" borderId="0" xfId="0" applyFont="1" applyFill="1"/>
    <xf numFmtId="0" fontId="13" fillId="2" borderId="0" xfId="0" applyFont="1" applyFill="1" applyAlignment="1">
      <alignment horizontal="center"/>
    </xf>
    <xf numFmtId="14" fontId="13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2" fillId="0" borderId="6" xfId="0" applyFont="1" applyBorder="1" applyAlignment="1">
      <alignment horizontal="center"/>
    </xf>
    <xf numFmtId="0" fontId="17" fillId="0" borderId="0" xfId="0" applyFont="1"/>
    <xf numFmtId="0" fontId="17" fillId="0" borderId="0" xfId="0" quotePrefix="1" applyFont="1"/>
    <xf numFmtId="0" fontId="8" fillId="0" borderId="0" xfId="0" applyFont="1"/>
    <xf numFmtId="0" fontId="13" fillId="0" borderId="4" xfId="1" applyFont="1" applyBorder="1"/>
    <xf numFmtId="0" fontId="0" fillId="0" borderId="5" xfId="0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8" fillId="0" borderId="5" xfId="0" applyFont="1" applyBorder="1" applyAlignment="1">
      <alignment vertical="top"/>
    </xf>
    <xf numFmtId="0" fontId="18" fillId="0" borderId="4" xfId="0" applyFont="1" applyBorder="1" applyAlignment="1">
      <alignment vertical="top"/>
    </xf>
    <xf numFmtId="0" fontId="18" fillId="0" borderId="6" xfId="0" applyFont="1" applyBorder="1" applyAlignment="1">
      <alignment vertical="top"/>
    </xf>
    <xf numFmtId="0" fontId="18" fillId="0" borderId="7" xfId="0" applyFont="1" applyBorder="1" applyAlignment="1">
      <alignment vertical="top"/>
    </xf>
    <xf numFmtId="2" fontId="18" fillId="0" borderId="6" xfId="0" applyNumberFormat="1" applyFont="1" applyBorder="1" applyAlignment="1">
      <alignment horizontal="center" vertical="top"/>
    </xf>
    <xf numFmtId="2" fontId="18" fillId="0" borderId="7" xfId="0" applyNumberFormat="1" applyFont="1" applyBorder="1" applyAlignment="1">
      <alignment horizontal="center" vertical="top"/>
    </xf>
    <xf numFmtId="2" fontId="9" fillId="0" borderId="7" xfId="0" applyNumberFormat="1" applyFont="1" applyBorder="1" applyAlignment="1">
      <alignment horizontal="center" vertical="top"/>
    </xf>
    <xf numFmtId="0" fontId="18" fillId="0" borderId="5" xfId="0" applyFont="1" applyBorder="1" applyAlignment="1">
      <alignment vertical="top" wrapText="1"/>
    </xf>
    <xf numFmtId="0" fontId="6" fillId="0" borderId="0" xfId="3" applyFont="1" applyAlignment="1">
      <alignment horizontal="left"/>
    </xf>
    <xf numFmtId="0" fontId="6" fillId="0" borderId="0" xfId="1" applyFont="1"/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15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4">
    <cellStyle name="Comma 2" xfId="4" xr:uid="{E30C6837-C6B1-487A-809B-5E164B2F1257}"/>
    <cellStyle name="Comma 3" xfId="13" xr:uid="{CA33AA66-9B2D-4E7F-87F2-8C82E00207B2}"/>
    <cellStyle name="Currency 2" xfId="5" xr:uid="{5F956129-1FEB-4696-8294-F0DC70037E12}"/>
    <cellStyle name="Currency 2 2" xfId="6" xr:uid="{931A22D4-B94A-4057-80CD-A27E2189BC91}"/>
    <cellStyle name="Currency 3" xfId="7" xr:uid="{12F24FEF-85B4-4F9C-968E-3926DC82154F}"/>
    <cellStyle name="Normal" xfId="0" builtinId="0"/>
    <cellStyle name="Normal 2" xfId="2" xr:uid="{00000000-0005-0000-0000-000002000000}"/>
    <cellStyle name="Normal 2 2" xfId="9" xr:uid="{2FCAF7FE-691A-4B0A-BD8C-5DEF29649B55}"/>
    <cellStyle name="Normal 2 3" xfId="8" xr:uid="{7642DA05-3709-4690-B385-5F427C10A521}"/>
    <cellStyle name="Normal 3" xfId="10" xr:uid="{684DAEE6-D322-4F77-BA60-160DC9A06B7C}"/>
    <cellStyle name="Normal 3 2" xfId="11" xr:uid="{815CF090-EB64-43E6-A594-352793648889}"/>
    <cellStyle name="Normal 4" xfId="12" xr:uid="{F767D238-B842-4558-8652-73DBDF639695}"/>
    <cellStyle name="Normal 5" xfId="3" xr:uid="{AC189BB0-E5F2-4F03-9115-5F42E01DEE85}"/>
    <cellStyle name="Normal_tc_jwci_alister_20050715_22" xfId="1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4337" name="Picture 4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0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0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0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4340" name="Picture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0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5900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8433" name="Picture 4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1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1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1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8436" name="Picture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1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5900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9457" name="Picture 4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D3F41A5B-9EA1-45B3-88C1-8205DCEF73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19458" name="Check Box 2" hidden="1">
              <a:extLst>
                <a:ext uri="{63B3BB69-23CF-44E3-9099-C40C66FF867C}">
                  <a14:compatExt spid="_x0000_s19458"/>
                </a:ext>
                <a:ext uri="{FF2B5EF4-FFF2-40B4-BE49-F238E27FC236}">
                  <a16:creationId xmlns:a16="http://schemas.microsoft.com/office/drawing/2014/main" id="{E54EBCCC-172B-4D2E-90FA-8DE2D7F4A1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19459" name="Check Box 3" hidden="1">
              <a:extLst>
                <a:ext uri="{63B3BB69-23CF-44E3-9099-C40C66FF867C}">
                  <a14:compatExt spid="_x0000_s19459"/>
                </a:ext>
                <a:ext uri="{FF2B5EF4-FFF2-40B4-BE49-F238E27FC236}">
                  <a16:creationId xmlns:a16="http://schemas.microsoft.com/office/drawing/2014/main" id="{47B1E13C-1BD3-4D92-A0B7-CC4F353009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19460" name="Picture 4" hidden="1">
              <a:extLst>
                <a:ext uri="{63B3BB69-23CF-44E3-9099-C40C66FF867C}">
                  <a14:compatExt spid="_x0000_s19460"/>
                </a:ext>
                <a:ext uri="{FF2B5EF4-FFF2-40B4-BE49-F238E27FC236}">
                  <a16:creationId xmlns:a16="http://schemas.microsoft.com/office/drawing/2014/main" id="{82A8C142-7B9D-4BD3-B0CD-80BC573B88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1AB0EC-5CDB-4C71-8D46-0EDE4F506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9075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20481" name="Picture 4" hidden="1">
              <a:extLst>
                <a:ext uri="{63B3BB69-23CF-44E3-9099-C40C66FF867C}">
                  <a14:compatExt spid="_x0000_s20481"/>
                </a:ext>
                <a:ext uri="{FF2B5EF4-FFF2-40B4-BE49-F238E27FC236}">
                  <a16:creationId xmlns:a16="http://schemas.microsoft.com/office/drawing/2014/main" id="{11DF9B7E-E0A8-43C6-8C8C-C67FDD75771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20482" name="Check Box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63131000-C945-4966-AE06-DAA2C78406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20483" name="Check Box 3" hidden="1">
              <a:extLst>
                <a:ext uri="{63B3BB69-23CF-44E3-9099-C40C66FF867C}">
                  <a14:compatExt spid="_x0000_s20483"/>
                </a:ext>
                <a:ext uri="{FF2B5EF4-FFF2-40B4-BE49-F238E27FC236}">
                  <a16:creationId xmlns:a16="http://schemas.microsoft.com/office/drawing/2014/main" id="{57B11B1D-EB8A-41D5-B164-7246A0A0E4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20484" name="Picture 4" hidden="1">
              <a:extLst>
                <a:ext uri="{63B3BB69-23CF-44E3-9099-C40C66FF867C}">
                  <a14:compatExt spid="_x0000_s20484"/>
                </a:ext>
                <a:ext uri="{FF2B5EF4-FFF2-40B4-BE49-F238E27FC236}">
                  <a16:creationId xmlns:a16="http://schemas.microsoft.com/office/drawing/2014/main" id="{4E3D5C74-343A-48BF-9C81-D17FDD9E50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7DCED0-DCCB-424C-94E2-901C53A9C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9075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21505" name="Picture 4" hidden="1">
              <a:extLst>
                <a:ext uri="{63B3BB69-23CF-44E3-9099-C40C66FF867C}">
                  <a14:compatExt spid="_x0000_s21505"/>
                </a:ext>
                <a:ext uri="{FF2B5EF4-FFF2-40B4-BE49-F238E27FC236}">
                  <a16:creationId xmlns:a16="http://schemas.microsoft.com/office/drawing/2014/main" id="{F221732C-7C59-41DB-A533-471066658D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21506" name="Check Box 2" hidden="1">
              <a:extLst>
                <a:ext uri="{63B3BB69-23CF-44E3-9099-C40C66FF867C}">
                  <a14:compatExt spid="_x0000_s21506"/>
                </a:ext>
                <a:ext uri="{FF2B5EF4-FFF2-40B4-BE49-F238E27FC236}">
                  <a16:creationId xmlns:a16="http://schemas.microsoft.com/office/drawing/2014/main" id="{BDB8A8FF-1382-47A5-A6F0-66D93C6A06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21507" name="Check Box 3" hidden="1">
              <a:extLst>
                <a:ext uri="{63B3BB69-23CF-44E3-9099-C40C66FF867C}">
                  <a14:compatExt spid="_x0000_s21507"/>
                </a:ext>
                <a:ext uri="{FF2B5EF4-FFF2-40B4-BE49-F238E27FC236}">
                  <a16:creationId xmlns:a16="http://schemas.microsoft.com/office/drawing/2014/main" id="{955D170A-2A17-4C09-BBD9-C445643957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21508" name="Picture 4" hidden="1">
              <a:extLst>
                <a:ext uri="{63B3BB69-23CF-44E3-9099-C40C66FF867C}">
                  <a14:compatExt spid="_x0000_s21508"/>
                </a:ext>
                <a:ext uri="{FF2B5EF4-FFF2-40B4-BE49-F238E27FC236}">
                  <a16:creationId xmlns:a16="http://schemas.microsoft.com/office/drawing/2014/main" id="{2D00172E-B96E-4F40-AD51-93FAC652DF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5F6124-BD08-49B9-854E-A1F29E5AC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9075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22529" name="Picture 4" hidden="1">
              <a:extLst>
                <a:ext uri="{63B3BB69-23CF-44E3-9099-C40C66FF867C}">
                  <a14:compatExt spid="_x0000_s22529"/>
                </a:ext>
                <a:ext uri="{FF2B5EF4-FFF2-40B4-BE49-F238E27FC236}">
                  <a16:creationId xmlns:a16="http://schemas.microsoft.com/office/drawing/2014/main" id="{C84AAFAA-9F47-4D5E-92AB-DFF9036196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22530" name="Check Box 2" hidden="1">
              <a:extLst>
                <a:ext uri="{63B3BB69-23CF-44E3-9099-C40C66FF867C}">
                  <a14:compatExt spid="_x0000_s22530"/>
                </a:ext>
                <a:ext uri="{FF2B5EF4-FFF2-40B4-BE49-F238E27FC236}">
                  <a16:creationId xmlns:a16="http://schemas.microsoft.com/office/drawing/2014/main" id="{34DCB5A3-1B0A-4B49-9734-F2B091D9DF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22531" name="Check Box 3" hidden="1">
              <a:extLst>
                <a:ext uri="{63B3BB69-23CF-44E3-9099-C40C66FF867C}">
                  <a14:compatExt spid="_x0000_s22531"/>
                </a:ext>
                <a:ext uri="{FF2B5EF4-FFF2-40B4-BE49-F238E27FC236}">
                  <a16:creationId xmlns:a16="http://schemas.microsoft.com/office/drawing/2014/main" id="{15918071-543E-4B13-8477-FD3BA892A4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22532" name="Picture 4" hidden="1">
              <a:extLst>
                <a:ext uri="{63B3BB69-23CF-44E3-9099-C40C66FF867C}">
                  <a14:compatExt spid="_x0000_s22532"/>
                </a:ext>
                <a:ext uri="{FF2B5EF4-FFF2-40B4-BE49-F238E27FC236}">
                  <a16:creationId xmlns:a16="http://schemas.microsoft.com/office/drawing/2014/main" id="{F0E42699-FB26-4EA4-A99D-60F3E84F28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F137C6-5C0B-4FB5-930F-62B7918A7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9075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23553" name="Picture 4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F5440B8D-5DFC-4FAD-95BA-C53C8252BC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23554" name="Check Box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AC14730E-AF69-4228-9842-AF7DF3A74C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23555" name="Check Box 3" hidden="1">
              <a:extLst>
                <a:ext uri="{63B3BB69-23CF-44E3-9099-C40C66FF867C}">
                  <a14:compatExt spid="_x0000_s23555"/>
                </a:ext>
                <a:ext uri="{FF2B5EF4-FFF2-40B4-BE49-F238E27FC236}">
                  <a16:creationId xmlns:a16="http://schemas.microsoft.com/office/drawing/2014/main" id="{8F4B02F5-B66D-42F5-B046-1297559911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23556" name="Picture 4" hidden="1">
              <a:extLst>
                <a:ext uri="{63B3BB69-23CF-44E3-9099-C40C66FF867C}">
                  <a14:compatExt spid="_x0000_s23556"/>
                </a:ext>
                <a:ext uri="{FF2B5EF4-FFF2-40B4-BE49-F238E27FC236}">
                  <a16:creationId xmlns:a16="http://schemas.microsoft.com/office/drawing/2014/main" id="{CD83A688-6BDF-4889-BC72-86EB8427C3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A9B968-306B-4A55-9090-95A27D687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9075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24577" name="Picture 4" hidden="1">
              <a:extLst>
                <a:ext uri="{63B3BB69-23CF-44E3-9099-C40C66FF867C}">
                  <a14:compatExt spid="_x0000_s24577"/>
                </a:ext>
                <a:ext uri="{FF2B5EF4-FFF2-40B4-BE49-F238E27FC236}">
                  <a16:creationId xmlns:a16="http://schemas.microsoft.com/office/drawing/2014/main" id="{A7B27E53-A888-4F88-A184-DDDFC9B306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0</xdr:rowOff>
        </xdr:from>
        <xdr:to>
          <xdr:col>12</xdr:col>
          <xdr:colOff>657225</xdr:colOff>
          <xdr:row>7</xdr:row>
          <xdr:rowOff>0</xdr:rowOff>
        </xdr:to>
        <xdr:sp macro="" textlink="">
          <xdr:nvSpPr>
            <xdr:cNvPr id="24578" name="Check Box 2" hidden="1">
              <a:extLst>
                <a:ext uri="{63B3BB69-23CF-44E3-9099-C40C66FF867C}">
                  <a14:compatExt spid="_x0000_s24578"/>
                </a:ext>
                <a:ext uri="{FF2B5EF4-FFF2-40B4-BE49-F238E27FC236}">
                  <a16:creationId xmlns:a16="http://schemas.microsoft.com/office/drawing/2014/main" id="{DFB10983-82FD-4508-BBBE-E7900E84D8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361950</xdr:colOff>
          <xdr:row>6</xdr:row>
          <xdr:rowOff>200025</xdr:rowOff>
        </xdr:from>
        <xdr:to>
          <xdr:col>12</xdr:col>
          <xdr:colOff>657225</xdr:colOff>
          <xdr:row>7</xdr:row>
          <xdr:rowOff>200025</xdr:rowOff>
        </xdr:to>
        <xdr:sp macro="" textlink="">
          <xdr:nvSpPr>
            <xdr:cNvPr id="24579" name="Check Box 3" hidden="1">
              <a:extLst>
                <a:ext uri="{63B3BB69-23CF-44E3-9099-C40C66FF867C}">
                  <a14:compatExt spid="_x0000_s24579"/>
                </a:ext>
                <a:ext uri="{FF2B5EF4-FFF2-40B4-BE49-F238E27FC236}">
                  <a16:creationId xmlns:a16="http://schemas.microsoft.com/office/drawing/2014/main" id="{24439C8C-3A3E-4239-BEC2-5B4CC65372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0</xdr:row>
          <xdr:rowOff>0</xdr:rowOff>
        </xdr:from>
        <xdr:to>
          <xdr:col>6</xdr:col>
          <xdr:colOff>9525</xdr:colOff>
          <xdr:row>0</xdr:row>
          <xdr:rowOff>9525</xdr:rowOff>
        </xdr:to>
        <xdr:sp macro="" textlink="">
          <xdr:nvSpPr>
            <xdr:cNvPr id="24580" name="Picture 4" hidden="1">
              <a:extLst>
                <a:ext uri="{63B3BB69-23CF-44E3-9099-C40C66FF867C}">
                  <a14:compatExt spid="_x0000_s24580"/>
                </a:ext>
                <a:ext uri="{FF2B5EF4-FFF2-40B4-BE49-F238E27FC236}">
                  <a16:creationId xmlns:a16="http://schemas.microsoft.com/office/drawing/2014/main" id="{093AAAC9-D9F6-49E7-9EBA-ECF2D1B720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1</xdr:col>
      <xdr:colOff>5086350</xdr:colOff>
      <xdr:row>1</xdr:row>
      <xdr:rowOff>278179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C37819-F399-4B29-83C3-F615983C4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9075"/>
          <a:ext cx="5086350" cy="278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8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7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oleObject" Target="../embeddings/oleObject10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9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oleObject" Target="../embeddings/oleObject1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oleObject" Target="../embeddings/oleObject1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3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1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oleObject" Target="../embeddings/oleObject16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4"/>
  <sheetViews>
    <sheetView zoomScale="75" workbookViewId="0">
      <selection activeCell="B19" sqref="B19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width="7.42578125" hidden="1" customWidth="1"/>
    <col min="5" max="5" width="10.5703125" customWidth="1"/>
    <col min="6" max="6" width="8" customWidth="1"/>
    <col min="7" max="13" width="12" customWidth="1"/>
    <col min="14" max="14" width="11.7109375" customWidth="1"/>
    <col min="15" max="15" width="11" customWidth="1"/>
  </cols>
  <sheetData>
    <row r="1" spans="1:18" ht="17.25" customHeight="1" x14ac:dyDescent="0.45">
      <c r="A1" s="5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75" t="s">
        <v>15</v>
      </c>
      <c r="N1" s="75"/>
      <c r="O1" s="75"/>
    </row>
    <row r="2" spans="1:18" ht="22.5" customHeight="1" x14ac:dyDescent="0.45">
      <c r="A2" s="57"/>
      <c r="B2" s="57"/>
      <c r="C2" s="57"/>
      <c r="D2" s="59"/>
      <c r="E2" s="59"/>
      <c r="F2" s="59"/>
      <c r="G2" s="71"/>
      <c r="H2" s="57"/>
      <c r="I2" s="57"/>
      <c r="J2" s="57"/>
      <c r="K2" s="57"/>
      <c r="L2" s="57"/>
      <c r="M2" s="75"/>
      <c r="N2" s="75"/>
      <c r="O2" s="75"/>
    </row>
    <row r="3" spans="1:18" ht="18.75" customHeight="1" x14ac:dyDescent="0.45">
      <c r="A3" s="57"/>
      <c r="B3" s="71" t="s">
        <v>24</v>
      </c>
      <c r="C3" s="57"/>
      <c r="D3" s="59"/>
      <c r="E3" s="59"/>
      <c r="F3" s="59"/>
      <c r="G3" s="72"/>
      <c r="H3" s="57"/>
      <c r="I3" s="57"/>
      <c r="J3" s="57"/>
      <c r="K3" s="57"/>
      <c r="L3" s="57"/>
      <c r="M3" s="75"/>
      <c r="N3" s="75"/>
      <c r="O3" s="75"/>
    </row>
    <row r="4" spans="1:18" ht="19.5" customHeight="1" x14ac:dyDescent="0.45">
      <c r="A4" s="57"/>
      <c r="B4" s="72" t="s">
        <v>25</v>
      </c>
      <c r="C4" s="57"/>
      <c r="D4" s="57"/>
      <c r="E4" s="57"/>
      <c r="F4" s="57"/>
      <c r="G4" s="71"/>
      <c r="H4" s="57"/>
      <c r="I4" s="57"/>
      <c r="J4" s="57"/>
      <c r="K4" s="57"/>
      <c r="L4" s="57"/>
      <c r="M4" s="75"/>
      <c r="N4" s="75"/>
      <c r="O4" s="75"/>
    </row>
    <row r="5" spans="1:18" ht="18.75" customHeight="1" x14ac:dyDescent="0.45">
      <c r="A5" s="57"/>
      <c r="B5" s="71" t="s">
        <v>26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7" spans="1:18" s="9" customFormat="1" ht="16.5" customHeight="1" x14ac:dyDescent="0.2">
      <c r="A7" s="1" t="s">
        <v>20</v>
      </c>
      <c r="B7" s="2"/>
      <c r="C7" s="2"/>
      <c r="D7" s="3"/>
      <c r="E7" s="22"/>
      <c r="F7" s="22"/>
      <c r="G7" s="4" t="s">
        <v>0</v>
      </c>
      <c r="H7" s="5"/>
      <c r="I7" s="4" t="s">
        <v>1</v>
      </c>
      <c r="J7" s="5"/>
      <c r="K7" s="4" t="s">
        <v>2</v>
      </c>
      <c r="L7" s="5"/>
      <c r="M7" s="6"/>
      <c r="N7" s="7" t="s">
        <v>3</v>
      </c>
      <c r="O7" s="8"/>
    </row>
    <row r="8" spans="1:18" ht="16.5" customHeight="1" x14ac:dyDescent="0.25">
      <c r="A8" s="10" t="s">
        <v>28</v>
      </c>
      <c r="B8" s="11"/>
      <c r="C8" s="11"/>
      <c r="D8" s="12"/>
      <c r="E8" s="61"/>
      <c r="F8" s="61"/>
      <c r="G8" s="76" t="s">
        <v>27</v>
      </c>
      <c r="H8" s="77"/>
      <c r="I8" s="78" t="s">
        <v>17</v>
      </c>
      <c r="J8" s="79"/>
      <c r="K8" s="13">
        <v>46207</v>
      </c>
      <c r="L8" s="14"/>
      <c r="M8" s="15"/>
      <c r="N8" s="16" t="s">
        <v>4</v>
      </c>
      <c r="O8" s="17"/>
    </row>
    <row r="9" spans="1:18" ht="16.5" customHeight="1" x14ac:dyDescent="0.2"/>
    <row r="10" spans="1:18" ht="16.5" customHeight="1" x14ac:dyDescent="0.2">
      <c r="A10" s="35" t="s">
        <v>5</v>
      </c>
      <c r="B10" s="36"/>
      <c r="C10" s="36"/>
      <c r="D10" s="31"/>
      <c r="E10" s="31"/>
      <c r="F10" s="31"/>
      <c r="G10" s="48">
        <f t="shared" ref="G10:M10" si="0">G11</f>
        <v>46201</v>
      </c>
      <c r="H10" s="48">
        <f t="shared" si="0"/>
        <v>46202</v>
      </c>
      <c r="I10" s="48">
        <f t="shared" si="0"/>
        <v>46203</v>
      </c>
      <c r="J10" s="48">
        <f t="shared" si="0"/>
        <v>46204</v>
      </c>
      <c r="K10" s="48">
        <f t="shared" si="0"/>
        <v>46205</v>
      </c>
      <c r="L10" s="48">
        <f t="shared" si="0"/>
        <v>46206</v>
      </c>
      <c r="M10" s="48">
        <f t="shared" si="0"/>
        <v>46207</v>
      </c>
      <c r="N10" s="32" t="s">
        <v>6</v>
      </c>
      <c r="O10" s="33"/>
    </row>
    <row r="11" spans="1:18" ht="16.5" customHeight="1" x14ac:dyDescent="0.2">
      <c r="A11" s="37"/>
      <c r="B11" s="60" t="s">
        <v>7</v>
      </c>
      <c r="C11" s="46" t="s">
        <v>22</v>
      </c>
      <c r="D11" s="56" t="s">
        <v>19</v>
      </c>
      <c r="E11" s="56" t="s">
        <v>23</v>
      </c>
      <c r="F11" s="56" t="s">
        <v>18</v>
      </c>
      <c r="G11" s="49">
        <f t="shared" ref="G11:L11" si="1">H11-1</f>
        <v>46201</v>
      </c>
      <c r="H11" s="49">
        <f t="shared" si="1"/>
        <v>46202</v>
      </c>
      <c r="I11" s="49">
        <f t="shared" si="1"/>
        <v>46203</v>
      </c>
      <c r="J11" s="49">
        <f t="shared" si="1"/>
        <v>46204</v>
      </c>
      <c r="K11" s="49">
        <f t="shared" si="1"/>
        <v>46205</v>
      </c>
      <c r="L11" s="49">
        <f t="shared" si="1"/>
        <v>46206</v>
      </c>
      <c r="M11" s="49">
        <f>K8</f>
        <v>46207</v>
      </c>
      <c r="N11" s="45" t="s">
        <v>8</v>
      </c>
      <c r="O11" s="45" t="s">
        <v>9</v>
      </c>
    </row>
    <row r="12" spans="1:18" ht="10.5" customHeight="1" x14ac:dyDescent="0.2">
      <c r="A12" s="42"/>
      <c r="B12" s="34"/>
      <c r="C12" s="34"/>
      <c r="D12" s="43"/>
      <c r="E12" s="43"/>
      <c r="F12" s="43"/>
      <c r="G12" s="50"/>
      <c r="H12" s="50"/>
      <c r="I12" s="50"/>
      <c r="J12" s="50"/>
      <c r="K12" s="50"/>
      <c r="L12" s="50"/>
      <c r="M12" s="50"/>
      <c r="N12" s="44"/>
      <c r="O12" s="44"/>
    </row>
    <row r="13" spans="1:18" ht="0.75" customHeight="1" x14ac:dyDescent="0.2">
      <c r="A13" s="51"/>
      <c r="B13" s="52"/>
      <c r="C13" s="52"/>
      <c r="D13" s="53"/>
      <c r="E13" s="53"/>
      <c r="F13" s="53"/>
      <c r="G13" s="54"/>
      <c r="H13" s="54"/>
      <c r="I13" s="54"/>
      <c r="J13" s="54"/>
      <c r="K13" s="54"/>
      <c r="L13" s="54"/>
      <c r="M13" s="54"/>
      <c r="N13" s="55"/>
      <c r="O13" s="55"/>
    </row>
    <row r="14" spans="1:18" s="19" customFormat="1" ht="15" customHeight="1" x14ac:dyDescent="0.25">
      <c r="A14" s="47"/>
      <c r="B14" s="70"/>
      <c r="C14" s="64"/>
      <c r="D14" s="65"/>
      <c r="E14" s="66"/>
      <c r="F14" s="65"/>
      <c r="G14" s="67"/>
      <c r="H14" s="68"/>
      <c r="I14" s="68"/>
      <c r="J14" s="68"/>
      <c r="K14" s="68"/>
      <c r="L14" s="68"/>
      <c r="M14" s="68"/>
      <c r="N14" s="68"/>
      <c r="O14" s="69">
        <f>SUM(G14:M14)</f>
        <v>0</v>
      </c>
      <c r="R14"/>
    </row>
    <row r="15" spans="1:18" ht="15" customHeight="1" x14ac:dyDescent="0.2">
      <c r="A15" s="30"/>
      <c r="B15" s="19"/>
      <c r="C15" s="19"/>
      <c r="D15" s="19"/>
      <c r="E15" s="19"/>
      <c r="F15" s="19"/>
      <c r="G15" s="29"/>
      <c r="H15" s="29"/>
      <c r="I15" s="29"/>
      <c r="J15" s="29"/>
      <c r="K15" s="29"/>
      <c r="L15" s="29"/>
      <c r="M15" s="29"/>
      <c r="N15" s="29"/>
      <c r="O15" s="29"/>
    </row>
    <row r="16" spans="1:18" ht="16.5" customHeight="1" x14ac:dyDescent="0.25">
      <c r="A16" s="39" t="s">
        <v>10</v>
      </c>
      <c r="B16" s="40"/>
      <c r="C16" s="62"/>
      <c r="D16" s="18"/>
      <c r="E16" s="18"/>
      <c r="F16" s="18"/>
      <c r="G16" s="41">
        <f t="shared" ref="G16:O16" si="2">SUM(G14:G15)</f>
        <v>0</v>
      </c>
      <c r="H16" s="41">
        <f t="shared" si="2"/>
        <v>0</v>
      </c>
      <c r="I16" s="41">
        <f t="shared" si="2"/>
        <v>0</v>
      </c>
      <c r="J16" s="41">
        <f t="shared" si="2"/>
        <v>0</v>
      </c>
      <c r="K16" s="41">
        <f t="shared" si="2"/>
        <v>0</v>
      </c>
      <c r="L16" s="41">
        <f t="shared" si="2"/>
        <v>0</v>
      </c>
      <c r="M16" s="41">
        <f t="shared" si="2"/>
        <v>0</v>
      </c>
      <c r="N16" s="41">
        <f t="shared" si="2"/>
        <v>0</v>
      </c>
      <c r="O16" s="41">
        <f t="shared" si="2"/>
        <v>0</v>
      </c>
      <c r="P16" s="38">
        <f>SUM(N16:O16)</f>
        <v>0</v>
      </c>
    </row>
    <row r="17" spans="1:13" ht="14.25" customHeight="1" x14ac:dyDescent="0.2"/>
    <row r="18" spans="1:13" ht="14.25" customHeight="1" x14ac:dyDescent="0.2">
      <c r="A18" s="20" t="s">
        <v>21</v>
      </c>
      <c r="B18" s="21"/>
      <c r="C18" s="21"/>
      <c r="D18" s="22"/>
      <c r="E18" s="22"/>
      <c r="F18" s="22"/>
      <c r="G18" s="22"/>
      <c r="H18" s="22"/>
      <c r="I18" s="22"/>
      <c r="J18" s="22"/>
      <c r="K18" s="23" t="s">
        <v>11</v>
      </c>
      <c r="L18" s="24"/>
      <c r="M18" s="3"/>
    </row>
    <row r="19" spans="1:13" ht="14.25" customHeight="1" x14ac:dyDescent="0.2">
      <c r="A19" s="25"/>
      <c r="B19" s="34"/>
      <c r="D19" t="s">
        <v>16</v>
      </c>
      <c r="K19" s="26"/>
      <c r="L19" s="73">
        <f ca="1">NOW()</f>
        <v>46305.419900115739</v>
      </c>
      <c r="M19" s="74"/>
    </row>
    <row r="20" spans="1:13" ht="14.25" customHeight="1" x14ac:dyDescent="0.2">
      <c r="A20" s="20" t="s">
        <v>14</v>
      </c>
      <c r="B20" s="21"/>
      <c r="C20" s="21"/>
      <c r="D20" s="22"/>
      <c r="E20" s="22"/>
      <c r="F20" s="22"/>
      <c r="G20" s="22"/>
      <c r="H20" s="22"/>
      <c r="I20" s="22"/>
      <c r="J20" s="22"/>
      <c r="K20" s="23" t="s">
        <v>11</v>
      </c>
      <c r="L20" s="24"/>
      <c r="M20" s="3"/>
    </row>
    <row r="21" spans="1:13" ht="14.25" customHeight="1" x14ac:dyDescent="0.2">
      <c r="A21" s="25"/>
      <c r="K21" s="26"/>
      <c r="L21" s="27"/>
      <c r="M21" s="28"/>
    </row>
    <row r="22" spans="1:13" ht="14.25" customHeight="1" x14ac:dyDescent="0.2">
      <c r="A22" s="23" t="s">
        <v>12</v>
      </c>
      <c r="B22" s="22"/>
      <c r="C22" s="22"/>
      <c r="D22" s="22"/>
      <c r="E22" s="22"/>
      <c r="F22" s="22"/>
      <c r="G22" s="22"/>
      <c r="H22" s="22"/>
      <c r="I22" s="22"/>
      <c r="J22" s="22"/>
      <c r="K22" s="23" t="s">
        <v>11</v>
      </c>
      <c r="L22" s="22"/>
      <c r="M22" s="3"/>
    </row>
    <row r="23" spans="1:13" ht="14.25" customHeight="1" x14ac:dyDescent="0.2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6"/>
      <c r="L23" s="27"/>
      <c r="M23" s="28"/>
    </row>
    <row r="24" spans="1:13" x14ac:dyDescent="0.2">
      <c r="A24" t="s">
        <v>13</v>
      </c>
    </row>
  </sheetData>
  <mergeCells count="4">
    <mergeCell ref="L19:M19"/>
    <mergeCell ref="M1:O4"/>
    <mergeCell ref="G8:H8"/>
    <mergeCell ref="I8:J8"/>
  </mergeCells>
  <phoneticPr fontId="0" type="noConversion"/>
  <printOptions horizontalCentered="1" verticalCentered="1"/>
  <pageMargins left="0.14000000000000001" right="0.12" top="0.54" bottom="0.47" header="0.5" footer="0.38"/>
  <pageSetup scale="91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pad.Document.1" shapeId="14337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4337" r:id="rId4"/>
      </mc:Fallback>
    </mc:AlternateContent>
    <mc:AlternateContent xmlns:mc="http://schemas.openxmlformats.org/markup-compatibility/2006">
      <mc:Choice Requires="x14">
        <oleObject progId="Wordpad.Document.1" shapeId="14340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4340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8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4"/>
  <sheetViews>
    <sheetView zoomScale="75" workbookViewId="0">
      <selection activeCell="B19" sqref="B19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width="7.42578125" hidden="1" customWidth="1"/>
    <col min="5" max="5" width="10.5703125" customWidth="1"/>
    <col min="6" max="6" width="8" customWidth="1"/>
    <col min="7" max="13" width="12" customWidth="1"/>
    <col min="14" max="14" width="11.7109375" customWidth="1"/>
    <col min="15" max="15" width="11" customWidth="1"/>
  </cols>
  <sheetData>
    <row r="1" spans="1:18" ht="17.25" customHeight="1" x14ac:dyDescent="0.45">
      <c r="A1" s="5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75" t="s">
        <v>15</v>
      </c>
      <c r="N1" s="75"/>
      <c r="O1" s="75"/>
    </row>
    <row r="2" spans="1:18" ht="22.5" customHeight="1" x14ac:dyDescent="0.45">
      <c r="A2" s="57"/>
      <c r="B2" s="57"/>
      <c r="C2" s="57"/>
      <c r="D2" s="59"/>
      <c r="E2" s="59"/>
      <c r="F2" s="59"/>
      <c r="G2" s="71"/>
      <c r="H2" s="57"/>
      <c r="I2" s="57"/>
      <c r="J2" s="57"/>
      <c r="K2" s="57"/>
      <c r="L2" s="57"/>
      <c r="M2" s="75"/>
      <c r="N2" s="75"/>
      <c r="O2" s="75"/>
    </row>
    <row r="3" spans="1:18" ht="18.75" customHeight="1" x14ac:dyDescent="0.45">
      <c r="A3" s="57"/>
      <c r="B3" s="71" t="s">
        <v>24</v>
      </c>
      <c r="C3" s="57"/>
      <c r="D3" s="59"/>
      <c r="E3" s="59"/>
      <c r="F3" s="59"/>
      <c r="G3" s="72"/>
      <c r="H3" s="57"/>
      <c r="I3" s="57"/>
      <c r="J3" s="57"/>
      <c r="K3" s="57"/>
      <c r="L3" s="57"/>
      <c r="M3" s="75"/>
      <c r="N3" s="75"/>
      <c r="O3" s="75"/>
    </row>
    <row r="4" spans="1:18" ht="21" customHeight="1" x14ac:dyDescent="0.45">
      <c r="A4" s="57"/>
      <c r="B4" s="72" t="s">
        <v>25</v>
      </c>
      <c r="C4" s="57"/>
      <c r="D4" s="57"/>
      <c r="E4" s="57"/>
      <c r="F4" s="57"/>
      <c r="G4" s="71"/>
      <c r="H4" s="57"/>
      <c r="I4" s="57"/>
      <c r="J4" s="57"/>
      <c r="K4" s="57"/>
      <c r="L4" s="57"/>
      <c r="M4" s="75"/>
      <c r="N4" s="75"/>
      <c r="O4" s="75"/>
    </row>
    <row r="5" spans="1:18" ht="18.75" customHeight="1" x14ac:dyDescent="0.45">
      <c r="A5" s="57"/>
      <c r="B5" s="71" t="s">
        <v>26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7" spans="1:18" s="9" customFormat="1" ht="16.5" customHeight="1" x14ac:dyDescent="0.2">
      <c r="A7" s="1" t="s">
        <v>20</v>
      </c>
      <c r="B7" s="2"/>
      <c r="C7" s="2"/>
      <c r="D7" s="3"/>
      <c r="E7" s="22"/>
      <c r="F7" s="22"/>
      <c r="G7" s="4" t="s">
        <v>0</v>
      </c>
      <c r="H7" s="5"/>
      <c r="I7" s="4" t="s">
        <v>1</v>
      </c>
      <c r="J7" s="5"/>
      <c r="K7" s="4" t="s">
        <v>2</v>
      </c>
      <c r="L7" s="5"/>
      <c r="M7" s="6"/>
      <c r="N7" s="7" t="s">
        <v>3</v>
      </c>
      <c r="O7" s="8"/>
    </row>
    <row r="8" spans="1:18" ht="16.5" customHeight="1" x14ac:dyDescent="0.25">
      <c r="A8" s="10" t="s">
        <v>28</v>
      </c>
      <c r="B8" s="11"/>
      <c r="C8" s="11"/>
      <c r="D8" s="12"/>
      <c r="E8" s="61"/>
      <c r="F8" s="61"/>
      <c r="G8" s="76" t="s">
        <v>27</v>
      </c>
      <c r="H8" s="77"/>
      <c r="I8" s="78" t="s">
        <v>17</v>
      </c>
      <c r="J8" s="79"/>
      <c r="K8" s="13">
        <f>'C1 W1'!K8+7</f>
        <v>46214</v>
      </c>
      <c r="L8" s="14"/>
      <c r="M8" s="15"/>
      <c r="N8" s="16" t="s">
        <v>4</v>
      </c>
      <c r="O8" s="17"/>
    </row>
    <row r="9" spans="1:18" ht="16.5" customHeight="1" x14ac:dyDescent="0.2"/>
    <row r="10" spans="1:18" ht="16.5" customHeight="1" x14ac:dyDescent="0.2">
      <c r="A10" s="35" t="s">
        <v>5</v>
      </c>
      <c r="B10" s="36"/>
      <c r="C10" s="36"/>
      <c r="D10" s="31"/>
      <c r="E10" s="31"/>
      <c r="F10" s="31"/>
      <c r="G10" s="48">
        <f t="shared" ref="G10:M10" si="0">G11</f>
        <v>46208</v>
      </c>
      <c r="H10" s="48">
        <f t="shared" si="0"/>
        <v>46209</v>
      </c>
      <c r="I10" s="48">
        <f t="shared" si="0"/>
        <v>46210</v>
      </c>
      <c r="J10" s="48">
        <f t="shared" si="0"/>
        <v>46211</v>
      </c>
      <c r="K10" s="48">
        <f t="shared" si="0"/>
        <v>46212</v>
      </c>
      <c r="L10" s="48">
        <f t="shared" si="0"/>
        <v>46213</v>
      </c>
      <c r="M10" s="48">
        <f t="shared" si="0"/>
        <v>46214</v>
      </c>
      <c r="N10" s="32" t="s">
        <v>6</v>
      </c>
      <c r="O10" s="33"/>
    </row>
    <row r="11" spans="1:18" ht="16.5" customHeight="1" x14ac:dyDescent="0.2">
      <c r="A11" s="37"/>
      <c r="B11" s="60" t="s">
        <v>7</v>
      </c>
      <c r="C11" s="46" t="s">
        <v>22</v>
      </c>
      <c r="D11" s="56" t="s">
        <v>19</v>
      </c>
      <c r="E11" s="56" t="s">
        <v>23</v>
      </c>
      <c r="F11" s="56" t="s">
        <v>18</v>
      </c>
      <c r="G11" s="49">
        <f t="shared" ref="G11:L11" si="1">H11-1</f>
        <v>46208</v>
      </c>
      <c r="H11" s="49">
        <f t="shared" si="1"/>
        <v>46209</v>
      </c>
      <c r="I11" s="49">
        <f t="shared" si="1"/>
        <v>46210</v>
      </c>
      <c r="J11" s="49">
        <f t="shared" si="1"/>
        <v>46211</v>
      </c>
      <c r="K11" s="49">
        <f t="shared" si="1"/>
        <v>46212</v>
      </c>
      <c r="L11" s="49">
        <f t="shared" si="1"/>
        <v>46213</v>
      </c>
      <c r="M11" s="49">
        <f>K8</f>
        <v>46214</v>
      </c>
      <c r="N11" s="45" t="s">
        <v>8</v>
      </c>
      <c r="O11" s="45" t="s">
        <v>9</v>
      </c>
    </row>
    <row r="12" spans="1:18" ht="10.5" customHeight="1" x14ac:dyDescent="0.2">
      <c r="A12" s="42"/>
      <c r="B12" s="34"/>
      <c r="C12" s="34"/>
      <c r="D12" s="43"/>
      <c r="E12" s="43"/>
      <c r="F12" s="43"/>
      <c r="G12" s="50"/>
      <c r="H12" s="50"/>
      <c r="I12" s="50"/>
      <c r="J12" s="50"/>
      <c r="K12" s="50"/>
      <c r="L12" s="50"/>
      <c r="M12" s="50"/>
      <c r="N12" s="44"/>
      <c r="O12" s="44"/>
    </row>
    <row r="13" spans="1:18" ht="0.75" customHeight="1" x14ac:dyDescent="0.2">
      <c r="A13" s="51"/>
      <c r="B13" s="52"/>
      <c r="C13" s="52"/>
      <c r="D13" s="53"/>
      <c r="E13" s="53"/>
      <c r="F13" s="53"/>
      <c r="G13" s="54"/>
      <c r="H13" s="54"/>
      <c r="I13" s="54"/>
      <c r="J13" s="54"/>
      <c r="K13" s="54"/>
      <c r="L13" s="54"/>
      <c r="M13" s="54"/>
      <c r="N13" s="55"/>
      <c r="O13" s="55"/>
    </row>
    <row r="14" spans="1:18" s="19" customFormat="1" ht="15" customHeight="1" x14ac:dyDescent="0.25">
      <c r="A14" s="47"/>
      <c r="B14" s="63"/>
      <c r="C14" s="64"/>
      <c r="D14" s="65"/>
      <c r="E14" s="66"/>
      <c r="F14" s="65"/>
      <c r="G14" s="67"/>
      <c r="H14" s="68"/>
      <c r="I14" s="68"/>
      <c r="J14" s="68"/>
      <c r="K14" s="68"/>
      <c r="L14" s="68"/>
      <c r="M14" s="68"/>
      <c r="N14" s="68"/>
      <c r="O14" s="69">
        <f>SUM(G14:M14)</f>
        <v>0</v>
      </c>
      <c r="R14"/>
    </row>
    <row r="15" spans="1:18" ht="15" customHeight="1" x14ac:dyDescent="0.2">
      <c r="A15" s="30"/>
      <c r="B15" s="19"/>
      <c r="C15" s="19"/>
      <c r="D15" s="19"/>
      <c r="E15" s="19"/>
      <c r="F15" s="19"/>
      <c r="G15" s="29"/>
      <c r="H15" s="29"/>
      <c r="I15" s="29"/>
      <c r="J15" s="29"/>
      <c r="K15" s="29"/>
      <c r="L15" s="29"/>
      <c r="M15" s="29"/>
      <c r="N15" s="29"/>
      <c r="O15" s="29"/>
    </row>
    <row r="16" spans="1:18" ht="16.5" customHeight="1" x14ac:dyDescent="0.25">
      <c r="A16" s="39" t="s">
        <v>10</v>
      </c>
      <c r="B16" s="40"/>
      <c r="C16" s="62"/>
      <c r="D16" s="18"/>
      <c r="E16" s="18"/>
      <c r="F16" s="18"/>
      <c r="G16" s="41">
        <f t="shared" ref="G16:O16" si="2">SUM(G14:G15)</f>
        <v>0</v>
      </c>
      <c r="H16" s="41">
        <f t="shared" si="2"/>
        <v>0</v>
      </c>
      <c r="I16" s="41">
        <f t="shared" si="2"/>
        <v>0</v>
      </c>
      <c r="J16" s="41">
        <f t="shared" si="2"/>
        <v>0</v>
      </c>
      <c r="K16" s="41">
        <f t="shared" si="2"/>
        <v>0</v>
      </c>
      <c r="L16" s="41">
        <f t="shared" si="2"/>
        <v>0</v>
      </c>
      <c r="M16" s="41">
        <f t="shared" si="2"/>
        <v>0</v>
      </c>
      <c r="N16" s="41">
        <f t="shared" si="2"/>
        <v>0</v>
      </c>
      <c r="O16" s="41">
        <f t="shared" si="2"/>
        <v>0</v>
      </c>
      <c r="P16" s="38">
        <f>SUM(N16:O16)</f>
        <v>0</v>
      </c>
    </row>
    <row r="17" spans="1:13" ht="14.25" customHeight="1" x14ac:dyDescent="0.2"/>
    <row r="18" spans="1:13" ht="14.25" customHeight="1" x14ac:dyDescent="0.2">
      <c r="A18" s="20" t="s">
        <v>21</v>
      </c>
      <c r="B18" s="21"/>
      <c r="C18" s="21"/>
      <c r="D18" s="22"/>
      <c r="E18" s="22"/>
      <c r="F18" s="22"/>
      <c r="G18" s="22"/>
      <c r="H18" s="22"/>
      <c r="I18" s="22"/>
      <c r="J18" s="22"/>
      <c r="K18" s="23" t="s">
        <v>11</v>
      </c>
      <c r="L18" s="24"/>
      <c r="M18" s="3"/>
    </row>
    <row r="19" spans="1:13" ht="14.25" customHeight="1" x14ac:dyDescent="0.2">
      <c r="A19" s="25"/>
      <c r="B19" s="34"/>
      <c r="D19" t="s">
        <v>16</v>
      </c>
      <c r="K19" s="26"/>
      <c r="L19" s="73">
        <f ca="1">NOW()</f>
        <v>46305.419900115739</v>
      </c>
      <c r="M19" s="74"/>
    </row>
    <row r="20" spans="1:13" ht="14.25" customHeight="1" x14ac:dyDescent="0.2">
      <c r="A20" s="20" t="s">
        <v>14</v>
      </c>
      <c r="B20" s="21"/>
      <c r="C20" s="21"/>
      <c r="D20" s="22"/>
      <c r="E20" s="22"/>
      <c r="F20" s="22"/>
      <c r="G20" s="22"/>
      <c r="H20" s="22"/>
      <c r="I20" s="22"/>
      <c r="J20" s="22"/>
      <c r="K20" s="23" t="s">
        <v>11</v>
      </c>
      <c r="L20" s="24"/>
      <c r="M20" s="3"/>
    </row>
    <row r="21" spans="1:13" ht="14.25" customHeight="1" x14ac:dyDescent="0.2">
      <c r="A21" s="25"/>
      <c r="K21" s="26"/>
      <c r="L21" s="27"/>
      <c r="M21" s="28"/>
    </row>
    <row r="22" spans="1:13" ht="14.25" customHeight="1" x14ac:dyDescent="0.2">
      <c r="A22" s="23" t="s">
        <v>12</v>
      </c>
      <c r="B22" s="22"/>
      <c r="C22" s="22"/>
      <c r="D22" s="22"/>
      <c r="E22" s="22"/>
      <c r="F22" s="22"/>
      <c r="G22" s="22"/>
      <c r="H22" s="22"/>
      <c r="I22" s="22"/>
      <c r="J22" s="22"/>
      <c r="K22" s="23" t="s">
        <v>11</v>
      </c>
      <c r="L22" s="22"/>
      <c r="M22" s="3"/>
    </row>
    <row r="23" spans="1:13" ht="14.25" customHeight="1" x14ac:dyDescent="0.2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6"/>
      <c r="L23" s="27"/>
      <c r="M23" s="28"/>
    </row>
    <row r="24" spans="1:13" x14ac:dyDescent="0.2">
      <c r="A24" t="s">
        <v>13</v>
      </c>
    </row>
  </sheetData>
  <mergeCells count="4">
    <mergeCell ref="M1:O4"/>
    <mergeCell ref="G8:H8"/>
    <mergeCell ref="I8:J8"/>
    <mergeCell ref="L19:M19"/>
  </mergeCells>
  <printOptions horizontalCentered="1" verticalCentered="1"/>
  <pageMargins left="0.14000000000000001" right="0.12" top="0.54" bottom="0.47" header="0.5" footer="0.38"/>
  <pageSetup scale="91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pad.Document.1" shapeId="18433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8433" r:id="rId4"/>
      </mc:Fallback>
    </mc:AlternateContent>
    <mc:AlternateContent xmlns:mc="http://schemas.openxmlformats.org/markup-compatibility/2006">
      <mc:Choice Requires="x14">
        <oleObject progId="Wordpad.Document.1" shapeId="18436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8436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4ED5-75F2-4C01-A9D6-502F96E69EA9}">
  <sheetPr>
    <pageSetUpPr fitToPage="1"/>
  </sheetPr>
  <dimension ref="A1:R24"/>
  <sheetViews>
    <sheetView zoomScale="75" workbookViewId="0">
      <selection activeCell="B19" sqref="B19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width="7.42578125" hidden="1" customWidth="1"/>
    <col min="5" max="5" width="10.5703125" customWidth="1"/>
    <col min="6" max="6" width="8" customWidth="1"/>
    <col min="7" max="13" width="12" customWidth="1"/>
    <col min="14" max="14" width="11.7109375" customWidth="1"/>
    <col min="15" max="15" width="11" customWidth="1"/>
  </cols>
  <sheetData>
    <row r="1" spans="1:18" ht="17.25" customHeight="1" x14ac:dyDescent="0.45">
      <c r="A1" s="5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75" t="s">
        <v>15</v>
      </c>
      <c r="N1" s="75"/>
      <c r="O1" s="75"/>
    </row>
    <row r="2" spans="1:18" ht="22.5" customHeight="1" x14ac:dyDescent="0.45">
      <c r="A2" s="57"/>
      <c r="B2" s="57"/>
      <c r="C2" s="57"/>
      <c r="D2" s="59"/>
      <c r="E2" s="59"/>
      <c r="F2" s="59"/>
      <c r="G2" s="71"/>
      <c r="H2" s="57"/>
      <c r="I2" s="57"/>
      <c r="J2" s="57"/>
      <c r="K2" s="57"/>
      <c r="L2" s="57"/>
      <c r="M2" s="75"/>
      <c r="N2" s="75"/>
      <c r="O2" s="75"/>
    </row>
    <row r="3" spans="1:18" ht="18.75" customHeight="1" x14ac:dyDescent="0.45">
      <c r="A3" s="57"/>
      <c r="B3" s="71" t="s">
        <v>24</v>
      </c>
      <c r="C3" s="57"/>
      <c r="D3" s="59"/>
      <c r="E3" s="59"/>
      <c r="F3" s="59"/>
      <c r="G3" s="72"/>
      <c r="H3" s="57"/>
      <c r="I3" s="57"/>
      <c r="J3" s="57"/>
      <c r="K3" s="57"/>
      <c r="L3" s="57"/>
      <c r="M3" s="75"/>
      <c r="N3" s="75"/>
      <c r="O3" s="75"/>
    </row>
    <row r="4" spans="1:18" ht="21" customHeight="1" x14ac:dyDescent="0.45">
      <c r="A4" s="57"/>
      <c r="B4" s="72" t="s">
        <v>25</v>
      </c>
      <c r="C4" s="57"/>
      <c r="D4" s="57"/>
      <c r="E4" s="57"/>
      <c r="F4" s="57"/>
      <c r="G4" s="71"/>
      <c r="H4" s="57"/>
      <c r="I4" s="57"/>
      <c r="J4" s="57"/>
      <c r="K4" s="57"/>
      <c r="L4" s="57"/>
      <c r="M4" s="75"/>
      <c r="N4" s="75"/>
      <c r="O4" s="75"/>
    </row>
    <row r="5" spans="1:18" ht="18.75" customHeight="1" x14ac:dyDescent="0.45">
      <c r="A5" s="57"/>
      <c r="B5" s="71" t="s">
        <v>26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7" spans="1:18" s="9" customFormat="1" ht="16.5" customHeight="1" x14ac:dyDescent="0.2">
      <c r="A7" s="1" t="s">
        <v>20</v>
      </c>
      <c r="B7" s="2"/>
      <c r="C7" s="2"/>
      <c r="D7" s="3"/>
      <c r="E7" s="22"/>
      <c r="F7" s="22"/>
      <c r="G7" s="4" t="s">
        <v>0</v>
      </c>
      <c r="H7" s="5"/>
      <c r="I7" s="4" t="s">
        <v>1</v>
      </c>
      <c r="J7" s="5"/>
      <c r="K7" s="4" t="s">
        <v>2</v>
      </c>
      <c r="L7" s="5"/>
      <c r="M7" s="6"/>
      <c r="N7" s="7" t="s">
        <v>3</v>
      </c>
      <c r="O7" s="8"/>
    </row>
    <row r="8" spans="1:18" ht="16.5" customHeight="1" x14ac:dyDescent="0.25">
      <c r="A8" s="10" t="s">
        <v>28</v>
      </c>
      <c r="B8" s="11"/>
      <c r="C8" s="11"/>
      <c r="D8" s="12"/>
      <c r="E8" s="61"/>
      <c r="F8" s="61"/>
      <c r="G8" s="76" t="s">
        <v>27</v>
      </c>
      <c r="H8" s="77"/>
      <c r="I8" s="78" t="s">
        <v>17</v>
      </c>
      <c r="J8" s="79"/>
      <c r="K8" s="13">
        <f>'C1 W1'!K8+7</f>
        <v>46214</v>
      </c>
      <c r="L8" s="14"/>
      <c r="M8" s="15"/>
      <c r="N8" s="16" t="s">
        <v>4</v>
      </c>
      <c r="O8" s="17"/>
    </row>
    <row r="9" spans="1:18" ht="16.5" customHeight="1" x14ac:dyDescent="0.2"/>
    <row r="10" spans="1:18" ht="16.5" customHeight="1" x14ac:dyDescent="0.2">
      <c r="A10" s="35" t="s">
        <v>5</v>
      </c>
      <c r="B10" s="36"/>
      <c r="C10" s="36"/>
      <c r="D10" s="31"/>
      <c r="E10" s="31"/>
      <c r="F10" s="31"/>
      <c r="G10" s="48">
        <f t="shared" ref="G10:M10" si="0">G11</f>
        <v>46208</v>
      </c>
      <c r="H10" s="48">
        <f t="shared" si="0"/>
        <v>46209</v>
      </c>
      <c r="I10" s="48">
        <f t="shared" si="0"/>
        <v>46210</v>
      </c>
      <c r="J10" s="48">
        <f t="shared" si="0"/>
        <v>46211</v>
      </c>
      <c r="K10" s="48">
        <f t="shared" si="0"/>
        <v>46212</v>
      </c>
      <c r="L10" s="48">
        <f t="shared" si="0"/>
        <v>46213</v>
      </c>
      <c r="M10" s="48">
        <f t="shared" si="0"/>
        <v>46214</v>
      </c>
      <c r="N10" s="32" t="s">
        <v>6</v>
      </c>
      <c r="O10" s="33"/>
    </row>
    <row r="11" spans="1:18" ht="16.5" customHeight="1" x14ac:dyDescent="0.2">
      <c r="A11" s="37"/>
      <c r="B11" s="60" t="s">
        <v>7</v>
      </c>
      <c r="C11" s="46" t="s">
        <v>22</v>
      </c>
      <c r="D11" s="56" t="s">
        <v>19</v>
      </c>
      <c r="E11" s="56" t="s">
        <v>23</v>
      </c>
      <c r="F11" s="56" t="s">
        <v>18</v>
      </c>
      <c r="G11" s="49">
        <f t="shared" ref="G11:L11" si="1">H11-1</f>
        <v>46208</v>
      </c>
      <c r="H11" s="49">
        <f t="shared" si="1"/>
        <v>46209</v>
      </c>
      <c r="I11" s="49">
        <f t="shared" si="1"/>
        <v>46210</v>
      </c>
      <c r="J11" s="49">
        <f t="shared" si="1"/>
        <v>46211</v>
      </c>
      <c r="K11" s="49">
        <f t="shared" si="1"/>
        <v>46212</v>
      </c>
      <c r="L11" s="49">
        <f t="shared" si="1"/>
        <v>46213</v>
      </c>
      <c r="M11" s="49">
        <f>K8</f>
        <v>46214</v>
      </c>
      <c r="N11" s="45" t="s">
        <v>8</v>
      </c>
      <c r="O11" s="45" t="s">
        <v>9</v>
      </c>
    </row>
    <row r="12" spans="1:18" ht="10.5" customHeight="1" x14ac:dyDescent="0.2">
      <c r="A12" s="42"/>
      <c r="B12" s="34"/>
      <c r="C12" s="34"/>
      <c r="D12" s="43"/>
      <c r="E12" s="43"/>
      <c r="F12" s="43"/>
      <c r="G12" s="50"/>
      <c r="H12" s="50"/>
      <c r="I12" s="50"/>
      <c r="J12" s="50"/>
      <c r="K12" s="50"/>
      <c r="L12" s="50"/>
      <c r="M12" s="50"/>
      <c r="N12" s="44"/>
      <c r="O12" s="44"/>
    </row>
    <row r="13" spans="1:18" ht="0.75" customHeight="1" x14ac:dyDescent="0.2">
      <c r="A13" s="51"/>
      <c r="B13" s="52"/>
      <c r="C13" s="52"/>
      <c r="D13" s="53"/>
      <c r="E13" s="53"/>
      <c r="F13" s="53"/>
      <c r="G13" s="54"/>
      <c r="H13" s="54"/>
      <c r="I13" s="54"/>
      <c r="J13" s="54"/>
      <c r="K13" s="54"/>
      <c r="L13" s="54"/>
      <c r="M13" s="54"/>
      <c r="N13" s="55"/>
      <c r="O13" s="55"/>
    </row>
    <row r="14" spans="1:18" s="19" customFormat="1" ht="15" customHeight="1" x14ac:dyDescent="0.25">
      <c r="A14" s="47"/>
      <c r="B14" s="63"/>
      <c r="C14" s="64"/>
      <c r="D14" s="65"/>
      <c r="E14" s="66"/>
      <c r="F14" s="65"/>
      <c r="G14" s="67"/>
      <c r="H14" s="68"/>
      <c r="I14" s="68"/>
      <c r="J14" s="68"/>
      <c r="K14" s="68"/>
      <c r="L14" s="68"/>
      <c r="M14" s="68"/>
      <c r="N14" s="68"/>
      <c r="O14" s="69">
        <f>SUM(G14:M14)</f>
        <v>0</v>
      </c>
      <c r="R14"/>
    </row>
    <row r="15" spans="1:18" ht="15" customHeight="1" x14ac:dyDescent="0.2">
      <c r="A15" s="30"/>
      <c r="B15" s="19"/>
      <c r="C15" s="19"/>
      <c r="D15" s="19"/>
      <c r="E15" s="19"/>
      <c r="F15" s="19"/>
      <c r="G15" s="29"/>
      <c r="H15" s="29"/>
      <c r="I15" s="29"/>
      <c r="J15" s="29"/>
      <c r="K15" s="29"/>
      <c r="L15" s="29"/>
      <c r="M15" s="29"/>
      <c r="N15" s="29"/>
      <c r="O15" s="29"/>
    </row>
    <row r="16" spans="1:18" ht="16.5" customHeight="1" x14ac:dyDescent="0.25">
      <c r="A16" s="39" t="s">
        <v>10</v>
      </c>
      <c r="B16" s="40"/>
      <c r="C16" s="62"/>
      <c r="D16" s="18"/>
      <c r="E16" s="18"/>
      <c r="F16" s="18"/>
      <c r="G16" s="41">
        <f t="shared" ref="G16:O16" si="2">SUM(G14:G15)</f>
        <v>0</v>
      </c>
      <c r="H16" s="41">
        <f t="shared" si="2"/>
        <v>0</v>
      </c>
      <c r="I16" s="41">
        <f t="shared" si="2"/>
        <v>0</v>
      </c>
      <c r="J16" s="41">
        <f t="shared" si="2"/>
        <v>0</v>
      </c>
      <c r="K16" s="41">
        <f t="shared" si="2"/>
        <v>0</v>
      </c>
      <c r="L16" s="41">
        <f t="shared" si="2"/>
        <v>0</v>
      </c>
      <c r="M16" s="41">
        <f t="shared" si="2"/>
        <v>0</v>
      </c>
      <c r="N16" s="41">
        <f t="shared" si="2"/>
        <v>0</v>
      </c>
      <c r="O16" s="41">
        <f t="shared" si="2"/>
        <v>0</v>
      </c>
      <c r="P16" s="38">
        <f>SUM(N16:O16)</f>
        <v>0</v>
      </c>
    </row>
    <row r="17" spans="1:13" ht="14.25" customHeight="1" x14ac:dyDescent="0.2"/>
    <row r="18" spans="1:13" ht="14.25" customHeight="1" x14ac:dyDescent="0.2">
      <c r="A18" s="20" t="s">
        <v>21</v>
      </c>
      <c r="B18" s="21"/>
      <c r="C18" s="21"/>
      <c r="D18" s="22"/>
      <c r="E18" s="22"/>
      <c r="F18" s="22"/>
      <c r="G18" s="22"/>
      <c r="H18" s="22"/>
      <c r="I18" s="22"/>
      <c r="J18" s="22"/>
      <c r="K18" s="23" t="s">
        <v>11</v>
      </c>
      <c r="L18" s="24"/>
      <c r="M18" s="3"/>
    </row>
    <row r="19" spans="1:13" ht="14.25" customHeight="1" x14ac:dyDescent="0.2">
      <c r="A19" s="25"/>
      <c r="B19" s="34"/>
      <c r="D19" t="s">
        <v>16</v>
      </c>
      <c r="K19" s="26"/>
      <c r="L19" s="73">
        <f ca="1">NOW()</f>
        <v>46305.419900115739</v>
      </c>
      <c r="M19" s="74"/>
    </row>
    <row r="20" spans="1:13" ht="14.25" customHeight="1" x14ac:dyDescent="0.2">
      <c r="A20" s="20" t="s">
        <v>14</v>
      </c>
      <c r="B20" s="21"/>
      <c r="C20" s="21"/>
      <c r="D20" s="22"/>
      <c r="E20" s="22"/>
      <c r="F20" s="22"/>
      <c r="G20" s="22"/>
      <c r="H20" s="22"/>
      <c r="I20" s="22"/>
      <c r="J20" s="22"/>
      <c r="K20" s="23" t="s">
        <v>11</v>
      </c>
      <c r="L20" s="24"/>
      <c r="M20" s="3"/>
    </row>
    <row r="21" spans="1:13" ht="14.25" customHeight="1" x14ac:dyDescent="0.2">
      <c r="A21" s="25"/>
      <c r="K21" s="26"/>
      <c r="L21" s="27"/>
      <c r="M21" s="28"/>
    </row>
    <row r="22" spans="1:13" ht="14.25" customHeight="1" x14ac:dyDescent="0.2">
      <c r="A22" s="23" t="s">
        <v>12</v>
      </c>
      <c r="B22" s="22"/>
      <c r="C22" s="22"/>
      <c r="D22" s="22"/>
      <c r="E22" s="22"/>
      <c r="F22" s="22"/>
      <c r="G22" s="22"/>
      <c r="H22" s="22"/>
      <c r="I22" s="22"/>
      <c r="J22" s="22"/>
      <c r="K22" s="23" t="s">
        <v>11</v>
      </c>
      <c r="L22" s="22"/>
      <c r="M22" s="3"/>
    </row>
    <row r="23" spans="1:13" ht="14.25" customHeight="1" x14ac:dyDescent="0.2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6"/>
      <c r="L23" s="27"/>
      <c r="M23" s="28"/>
    </row>
    <row r="24" spans="1:13" x14ac:dyDescent="0.2">
      <c r="A24" t="s">
        <v>13</v>
      </c>
    </row>
  </sheetData>
  <mergeCells count="4">
    <mergeCell ref="M1:O4"/>
    <mergeCell ref="G8:H8"/>
    <mergeCell ref="I8:J8"/>
    <mergeCell ref="L19:M19"/>
  </mergeCells>
  <printOptions horizontalCentered="1" verticalCentered="1"/>
  <pageMargins left="0.14000000000000001" right="0.12" top="0.54" bottom="0.47" header="0.5" footer="0.38"/>
  <pageSetup scale="91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pad.Document.1" shapeId="19457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9457" r:id="rId4"/>
      </mc:Fallback>
    </mc:AlternateContent>
    <mc:AlternateContent xmlns:mc="http://schemas.openxmlformats.org/markup-compatibility/2006">
      <mc:Choice Requires="x14">
        <oleObject progId="Wordpad.Document.1" shapeId="19460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19460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8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9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91817-C06C-40D6-A013-9AF509F2BBEA}">
  <sheetPr>
    <pageSetUpPr fitToPage="1"/>
  </sheetPr>
  <dimension ref="A1:R24"/>
  <sheetViews>
    <sheetView zoomScale="75" workbookViewId="0">
      <selection activeCell="B50" sqref="B50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width="7.42578125" hidden="1" customWidth="1"/>
    <col min="5" max="5" width="10.5703125" customWidth="1"/>
    <col min="6" max="6" width="8" customWidth="1"/>
    <col min="7" max="13" width="12" customWidth="1"/>
    <col min="14" max="14" width="11.7109375" customWidth="1"/>
    <col min="15" max="15" width="11" customWidth="1"/>
  </cols>
  <sheetData>
    <row r="1" spans="1:18" ht="17.25" customHeight="1" x14ac:dyDescent="0.45">
      <c r="A1" s="5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75" t="s">
        <v>15</v>
      </c>
      <c r="N1" s="75"/>
      <c r="O1" s="75"/>
    </row>
    <row r="2" spans="1:18" ht="22.5" customHeight="1" x14ac:dyDescent="0.45">
      <c r="A2" s="57"/>
      <c r="B2" s="57"/>
      <c r="C2" s="57"/>
      <c r="D2" s="59"/>
      <c r="E2" s="59"/>
      <c r="F2" s="59"/>
      <c r="G2" s="71"/>
      <c r="H2" s="57"/>
      <c r="I2" s="57"/>
      <c r="J2" s="57"/>
      <c r="K2" s="57"/>
      <c r="L2" s="57"/>
      <c r="M2" s="75"/>
      <c r="N2" s="75"/>
      <c r="O2" s="75"/>
    </row>
    <row r="3" spans="1:18" ht="18.75" customHeight="1" x14ac:dyDescent="0.45">
      <c r="A3" s="57"/>
      <c r="B3" s="71" t="s">
        <v>24</v>
      </c>
      <c r="C3" s="57"/>
      <c r="D3" s="59"/>
      <c r="E3" s="59"/>
      <c r="F3" s="59"/>
      <c r="G3" s="72"/>
      <c r="H3" s="57"/>
      <c r="I3" s="57"/>
      <c r="J3" s="57"/>
      <c r="K3" s="57"/>
      <c r="L3" s="57"/>
      <c r="M3" s="75"/>
      <c r="N3" s="75"/>
      <c r="O3" s="75"/>
    </row>
    <row r="4" spans="1:18" ht="21" customHeight="1" x14ac:dyDescent="0.45">
      <c r="A4" s="57"/>
      <c r="B4" s="72" t="s">
        <v>25</v>
      </c>
      <c r="C4" s="57"/>
      <c r="D4" s="57"/>
      <c r="E4" s="57"/>
      <c r="F4" s="57"/>
      <c r="G4" s="71"/>
      <c r="H4" s="57"/>
      <c r="I4" s="57"/>
      <c r="J4" s="57"/>
      <c r="K4" s="57"/>
      <c r="L4" s="57"/>
      <c r="M4" s="75"/>
      <c r="N4" s="75"/>
      <c r="O4" s="75"/>
    </row>
    <row r="5" spans="1:18" ht="18.75" customHeight="1" x14ac:dyDescent="0.45">
      <c r="A5" s="57"/>
      <c r="B5" s="71" t="s">
        <v>26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7" spans="1:18" s="9" customFormat="1" ht="16.5" customHeight="1" x14ac:dyDescent="0.2">
      <c r="A7" s="1" t="s">
        <v>20</v>
      </c>
      <c r="B7" s="2"/>
      <c r="C7" s="2"/>
      <c r="D7" s="3"/>
      <c r="E7" s="22"/>
      <c r="F7" s="22"/>
      <c r="G7" s="4" t="s">
        <v>0</v>
      </c>
      <c r="H7" s="5"/>
      <c r="I7" s="4" t="s">
        <v>1</v>
      </c>
      <c r="J7" s="5"/>
      <c r="K7" s="4" t="s">
        <v>2</v>
      </c>
      <c r="L7" s="5"/>
      <c r="M7" s="6"/>
      <c r="N7" s="7" t="s">
        <v>3</v>
      </c>
      <c r="O7" s="8"/>
    </row>
    <row r="8" spans="1:18" ht="16.5" customHeight="1" x14ac:dyDescent="0.25">
      <c r="A8" s="10" t="s">
        <v>28</v>
      </c>
      <c r="B8" s="11"/>
      <c r="C8" s="11"/>
      <c r="D8" s="12"/>
      <c r="E8" s="61"/>
      <c r="F8" s="61"/>
      <c r="G8" s="76" t="s">
        <v>27</v>
      </c>
      <c r="H8" s="77"/>
      <c r="I8" s="78" t="s">
        <v>17</v>
      </c>
      <c r="J8" s="79"/>
      <c r="K8" s="13">
        <f>'C1 W1'!K8+7</f>
        <v>46214</v>
      </c>
      <c r="L8" s="14"/>
      <c r="M8" s="15"/>
      <c r="N8" s="16" t="s">
        <v>4</v>
      </c>
      <c r="O8" s="17"/>
    </row>
    <row r="9" spans="1:18" ht="16.5" customHeight="1" x14ac:dyDescent="0.2"/>
    <row r="10" spans="1:18" ht="16.5" customHeight="1" x14ac:dyDescent="0.2">
      <c r="A10" s="35" t="s">
        <v>5</v>
      </c>
      <c r="B10" s="36"/>
      <c r="C10" s="36"/>
      <c r="D10" s="31"/>
      <c r="E10" s="31"/>
      <c r="F10" s="31"/>
      <c r="G10" s="48">
        <f t="shared" ref="G10:M10" si="0">G11</f>
        <v>46208</v>
      </c>
      <c r="H10" s="48">
        <f t="shared" si="0"/>
        <v>46209</v>
      </c>
      <c r="I10" s="48">
        <f t="shared" si="0"/>
        <v>46210</v>
      </c>
      <c r="J10" s="48">
        <f t="shared" si="0"/>
        <v>46211</v>
      </c>
      <c r="K10" s="48">
        <f t="shared" si="0"/>
        <v>46212</v>
      </c>
      <c r="L10" s="48">
        <f t="shared" si="0"/>
        <v>46213</v>
      </c>
      <c r="M10" s="48">
        <f t="shared" si="0"/>
        <v>46214</v>
      </c>
      <c r="N10" s="32" t="s">
        <v>6</v>
      </c>
      <c r="O10" s="33"/>
    </row>
    <row r="11" spans="1:18" ht="16.5" customHeight="1" x14ac:dyDescent="0.2">
      <c r="A11" s="37"/>
      <c r="B11" s="60" t="s">
        <v>7</v>
      </c>
      <c r="C11" s="46" t="s">
        <v>22</v>
      </c>
      <c r="D11" s="56" t="s">
        <v>19</v>
      </c>
      <c r="E11" s="56" t="s">
        <v>23</v>
      </c>
      <c r="F11" s="56" t="s">
        <v>18</v>
      </c>
      <c r="G11" s="49">
        <f t="shared" ref="G11:L11" si="1">H11-1</f>
        <v>46208</v>
      </c>
      <c r="H11" s="49">
        <f t="shared" si="1"/>
        <v>46209</v>
      </c>
      <c r="I11" s="49">
        <f t="shared" si="1"/>
        <v>46210</v>
      </c>
      <c r="J11" s="49">
        <f t="shared" si="1"/>
        <v>46211</v>
      </c>
      <c r="K11" s="49">
        <f t="shared" si="1"/>
        <v>46212</v>
      </c>
      <c r="L11" s="49">
        <f t="shared" si="1"/>
        <v>46213</v>
      </c>
      <c r="M11" s="49">
        <f>K8</f>
        <v>46214</v>
      </c>
      <c r="N11" s="45" t="s">
        <v>8</v>
      </c>
      <c r="O11" s="45" t="s">
        <v>9</v>
      </c>
    </row>
    <row r="12" spans="1:18" ht="10.5" customHeight="1" x14ac:dyDescent="0.2">
      <c r="A12" s="42"/>
      <c r="B12" s="34"/>
      <c r="C12" s="34"/>
      <c r="D12" s="43"/>
      <c r="E12" s="43"/>
      <c r="F12" s="43"/>
      <c r="G12" s="50"/>
      <c r="H12" s="50"/>
      <c r="I12" s="50"/>
      <c r="J12" s="50"/>
      <c r="K12" s="50"/>
      <c r="L12" s="50"/>
      <c r="M12" s="50"/>
      <c r="N12" s="44"/>
      <c r="O12" s="44"/>
    </row>
    <row r="13" spans="1:18" ht="0.75" customHeight="1" x14ac:dyDescent="0.2">
      <c r="A13" s="51"/>
      <c r="B13" s="52"/>
      <c r="C13" s="52"/>
      <c r="D13" s="53"/>
      <c r="E13" s="53"/>
      <c r="F13" s="53"/>
      <c r="G13" s="54"/>
      <c r="H13" s="54"/>
      <c r="I13" s="54"/>
      <c r="J13" s="54"/>
      <c r="K13" s="54"/>
      <c r="L13" s="54"/>
      <c r="M13" s="54"/>
      <c r="N13" s="55"/>
      <c r="O13" s="55"/>
    </row>
    <row r="14" spans="1:18" s="19" customFormat="1" ht="15" customHeight="1" x14ac:dyDescent="0.25">
      <c r="A14" s="47"/>
      <c r="B14" s="63"/>
      <c r="C14" s="64"/>
      <c r="D14" s="65"/>
      <c r="E14" s="66"/>
      <c r="F14" s="65"/>
      <c r="G14" s="67"/>
      <c r="H14" s="68"/>
      <c r="I14" s="68"/>
      <c r="J14" s="68"/>
      <c r="K14" s="68"/>
      <c r="L14" s="68"/>
      <c r="M14" s="68"/>
      <c r="N14" s="68"/>
      <c r="O14" s="69">
        <f>SUM(G14:M14)</f>
        <v>0</v>
      </c>
      <c r="R14"/>
    </row>
    <row r="15" spans="1:18" ht="15" customHeight="1" x14ac:dyDescent="0.2">
      <c r="A15" s="30"/>
      <c r="B15" s="19"/>
      <c r="C15" s="19"/>
      <c r="D15" s="19"/>
      <c r="E15" s="19"/>
      <c r="F15" s="19"/>
      <c r="G15" s="29"/>
      <c r="H15" s="29"/>
      <c r="I15" s="29"/>
      <c r="J15" s="29"/>
      <c r="K15" s="29"/>
      <c r="L15" s="29"/>
      <c r="M15" s="29"/>
      <c r="N15" s="29"/>
      <c r="O15" s="29"/>
    </row>
    <row r="16" spans="1:18" ht="16.5" customHeight="1" x14ac:dyDescent="0.25">
      <c r="A16" s="39" t="s">
        <v>10</v>
      </c>
      <c r="B16" s="40"/>
      <c r="C16" s="62"/>
      <c r="D16" s="18"/>
      <c r="E16" s="18"/>
      <c r="F16" s="18"/>
      <c r="G16" s="41">
        <f t="shared" ref="G16:O16" si="2">SUM(G14:G15)</f>
        <v>0</v>
      </c>
      <c r="H16" s="41">
        <f t="shared" si="2"/>
        <v>0</v>
      </c>
      <c r="I16" s="41">
        <f t="shared" si="2"/>
        <v>0</v>
      </c>
      <c r="J16" s="41">
        <f t="shared" si="2"/>
        <v>0</v>
      </c>
      <c r="K16" s="41">
        <f t="shared" si="2"/>
        <v>0</v>
      </c>
      <c r="L16" s="41">
        <f t="shared" si="2"/>
        <v>0</v>
      </c>
      <c r="M16" s="41">
        <f t="shared" si="2"/>
        <v>0</v>
      </c>
      <c r="N16" s="41">
        <f t="shared" si="2"/>
        <v>0</v>
      </c>
      <c r="O16" s="41">
        <f t="shared" si="2"/>
        <v>0</v>
      </c>
      <c r="P16" s="38">
        <f>SUM(N16:O16)</f>
        <v>0</v>
      </c>
    </row>
    <row r="17" spans="1:13" ht="14.25" customHeight="1" x14ac:dyDescent="0.2"/>
    <row r="18" spans="1:13" ht="14.25" customHeight="1" x14ac:dyDescent="0.2">
      <c r="A18" s="20" t="s">
        <v>21</v>
      </c>
      <c r="B18" s="21"/>
      <c r="C18" s="21"/>
      <c r="D18" s="22"/>
      <c r="E18" s="22"/>
      <c r="F18" s="22"/>
      <c r="G18" s="22"/>
      <c r="H18" s="22"/>
      <c r="I18" s="22"/>
      <c r="J18" s="22"/>
      <c r="K18" s="23" t="s">
        <v>11</v>
      </c>
      <c r="L18" s="24"/>
      <c r="M18" s="3"/>
    </row>
    <row r="19" spans="1:13" ht="14.25" customHeight="1" x14ac:dyDescent="0.2">
      <c r="A19" s="25"/>
      <c r="B19" s="34"/>
      <c r="D19" t="s">
        <v>16</v>
      </c>
      <c r="K19" s="26"/>
      <c r="L19" s="73">
        <f ca="1">NOW()</f>
        <v>46305.419900115739</v>
      </c>
      <c r="M19" s="74"/>
    </row>
    <row r="20" spans="1:13" ht="14.25" customHeight="1" x14ac:dyDescent="0.2">
      <c r="A20" s="20" t="s">
        <v>14</v>
      </c>
      <c r="B20" s="21"/>
      <c r="C20" s="21"/>
      <c r="D20" s="22"/>
      <c r="E20" s="22"/>
      <c r="F20" s="22"/>
      <c r="G20" s="22"/>
      <c r="H20" s="22"/>
      <c r="I20" s="22"/>
      <c r="J20" s="22"/>
      <c r="K20" s="23" t="s">
        <v>11</v>
      </c>
      <c r="L20" s="24"/>
      <c r="M20" s="3"/>
    </row>
    <row r="21" spans="1:13" ht="14.25" customHeight="1" x14ac:dyDescent="0.2">
      <c r="A21" s="25"/>
      <c r="K21" s="26"/>
      <c r="L21" s="27"/>
      <c r="M21" s="28"/>
    </row>
    <row r="22" spans="1:13" ht="14.25" customHeight="1" x14ac:dyDescent="0.2">
      <c r="A22" s="23" t="s">
        <v>12</v>
      </c>
      <c r="B22" s="22"/>
      <c r="C22" s="22"/>
      <c r="D22" s="22"/>
      <c r="E22" s="22"/>
      <c r="F22" s="22"/>
      <c r="G22" s="22"/>
      <c r="H22" s="22"/>
      <c r="I22" s="22"/>
      <c r="J22" s="22"/>
      <c r="K22" s="23" t="s">
        <v>11</v>
      </c>
      <c r="L22" s="22"/>
      <c r="M22" s="3"/>
    </row>
    <row r="23" spans="1:13" ht="14.25" customHeight="1" x14ac:dyDescent="0.2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6"/>
      <c r="L23" s="27"/>
      <c r="M23" s="28"/>
    </row>
    <row r="24" spans="1:13" x14ac:dyDescent="0.2">
      <c r="A24" t="s">
        <v>13</v>
      </c>
    </row>
  </sheetData>
  <mergeCells count="4">
    <mergeCell ref="M1:O4"/>
    <mergeCell ref="G8:H8"/>
    <mergeCell ref="I8:J8"/>
    <mergeCell ref="L19:M19"/>
  </mergeCells>
  <printOptions horizontalCentered="1" verticalCentered="1"/>
  <pageMargins left="0.14000000000000001" right="0.12" top="0.54" bottom="0.47" header="0.5" footer="0.38"/>
  <pageSetup scale="91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pad.Document.1" shapeId="20481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20481" r:id="rId4"/>
      </mc:Fallback>
    </mc:AlternateContent>
    <mc:AlternateContent xmlns:mc="http://schemas.openxmlformats.org/markup-compatibility/2006">
      <mc:Choice Requires="x14">
        <oleObject progId="Wordpad.Document.1" shapeId="20484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20484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2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83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B815-18AD-4DD9-9AF6-2D8757057938}">
  <sheetPr>
    <pageSetUpPr fitToPage="1"/>
  </sheetPr>
  <dimension ref="A1:R24"/>
  <sheetViews>
    <sheetView zoomScale="75" workbookViewId="0">
      <selection activeCell="H47" sqref="H47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width="7.42578125" hidden="1" customWidth="1"/>
    <col min="5" max="5" width="10.5703125" customWidth="1"/>
    <col min="6" max="6" width="8" customWidth="1"/>
    <col min="7" max="13" width="12" customWidth="1"/>
    <col min="14" max="14" width="11.7109375" customWidth="1"/>
    <col min="15" max="15" width="11" customWidth="1"/>
  </cols>
  <sheetData>
    <row r="1" spans="1:18" ht="17.25" customHeight="1" x14ac:dyDescent="0.45">
      <c r="A1" s="5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75" t="s">
        <v>15</v>
      </c>
      <c r="N1" s="75"/>
      <c r="O1" s="75"/>
    </row>
    <row r="2" spans="1:18" ht="22.5" customHeight="1" x14ac:dyDescent="0.45">
      <c r="A2" s="57"/>
      <c r="B2" s="57"/>
      <c r="C2" s="57"/>
      <c r="D2" s="59"/>
      <c r="E2" s="59"/>
      <c r="F2" s="59"/>
      <c r="G2" s="71"/>
      <c r="H2" s="57"/>
      <c r="I2" s="57"/>
      <c r="J2" s="57"/>
      <c r="K2" s="57"/>
      <c r="L2" s="57"/>
      <c r="M2" s="75"/>
      <c r="N2" s="75"/>
      <c r="O2" s="75"/>
    </row>
    <row r="3" spans="1:18" ht="18.75" customHeight="1" x14ac:dyDescent="0.45">
      <c r="A3" s="57"/>
      <c r="B3" s="71" t="s">
        <v>24</v>
      </c>
      <c r="C3" s="57"/>
      <c r="D3" s="59"/>
      <c r="E3" s="59"/>
      <c r="F3" s="59"/>
      <c r="G3" s="72"/>
      <c r="H3" s="57"/>
      <c r="I3" s="57"/>
      <c r="J3" s="57"/>
      <c r="K3" s="57"/>
      <c r="L3" s="57"/>
      <c r="M3" s="75"/>
      <c r="N3" s="75"/>
      <c r="O3" s="75"/>
    </row>
    <row r="4" spans="1:18" ht="21" customHeight="1" x14ac:dyDescent="0.45">
      <c r="A4" s="57"/>
      <c r="B4" s="72" t="s">
        <v>25</v>
      </c>
      <c r="C4" s="57"/>
      <c r="D4" s="57"/>
      <c r="E4" s="57"/>
      <c r="F4" s="57"/>
      <c r="G4" s="71"/>
      <c r="H4" s="57"/>
      <c r="I4" s="57"/>
      <c r="J4" s="57"/>
      <c r="K4" s="57"/>
      <c r="L4" s="57"/>
      <c r="M4" s="75"/>
      <c r="N4" s="75"/>
      <c r="O4" s="75"/>
    </row>
    <row r="5" spans="1:18" ht="18.75" customHeight="1" x14ac:dyDescent="0.45">
      <c r="A5" s="57"/>
      <c r="B5" s="71" t="s">
        <v>26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7" spans="1:18" s="9" customFormat="1" ht="16.5" customHeight="1" x14ac:dyDescent="0.2">
      <c r="A7" s="1" t="s">
        <v>20</v>
      </c>
      <c r="B7" s="2"/>
      <c r="C7" s="2"/>
      <c r="D7" s="3"/>
      <c r="E7" s="22"/>
      <c r="F7" s="22"/>
      <c r="G7" s="4" t="s">
        <v>0</v>
      </c>
      <c r="H7" s="5"/>
      <c r="I7" s="4" t="s">
        <v>1</v>
      </c>
      <c r="J7" s="5"/>
      <c r="K7" s="4" t="s">
        <v>2</v>
      </c>
      <c r="L7" s="5"/>
      <c r="M7" s="6"/>
      <c r="N7" s="7" t="s">
        <v>3</v>
      </c>
      <c r="O7" s="8"/>
    </row>
    <row r="8" spans="1:18" ht="16.5" customHeight="1" x14ac:dyDescent="0.25">
      <c r="A8" s="10" t="s">
        <v>28</v>
      </c>
      <c r="B8" s="11"/>
      <c r="C8" s="11"/>
      <c r="D8" s="12"/>
      <c r="E8" s="61"/>
      <c r="F8" s="61"/>
      <c r="G8" s="76" t="s">
        <v>27</v>
      </c>
      <c r="H8" s="77"/>
      <c r="I8" s="78" t="s">
        <v>17</v>
      </c>
      <c r="J8" s="79"/>
      <c r="K8" s="13">
        <f>'C1 W1'!K8+7</f>
        <v>46214</v>
      </c>
      <c r="L8" s="14"/>
      <c r="M8" s="15"/>
      <c r="N8" s="16" t="s">
        <v>4</v>
      </c>
      <c r="O8" s="17"/>
    </row>
    <row r="9" spans="1:18" ht="16.5" customHeight="1" x14ac:dyDescent="0.2"/>
    <row r="10" spans="1:18" ht="16.5" customHeight="1" x14ac:dyDescent="0.2">
      <c r="A10" s="35" t="s">
        <v>5</v>
      </c>
      <c r="B10" s="36"/>
      <c r="C10" s="36"/>
      <c r="D10" s="31"/>
      <c r="E10" s="31"/>
      <c r="F10" s="31"/>
      <c r="G10" s="48">
        <f t="shared" ref="G10:M10" si="0">G11</f>
        <v>46208</v>
      </c>
      <c r="H10" s="48">
        <f t="shared" si="0"/>
        <v>46209</v>
      </c>
      <c r="I10" s="48">
        <f t="shared" si="0"/>
        <v>46210</v>
      </c>
      <c r="J10" s="48">
        <f t="shared" si="0"/>
        <v>46211</v>
      </c>
      <c r="K10" s="48">
        <f t="shared" si="0"/>
        <v>46212</v>
      </c>
      <c r="L10" s="48">
        <f t="shared" si="0"/>
        <v>46213</v>
      </c>
      <c r="M10" s="48">
        <f t="shared" si="0"/>
        <v>46214</v>
      </c>
      <c r="N10" s="32" t="s">
        <v>6</v>
      </c>
      <c r="O10" s="33"/>
    </row>
    <row r="11" spans="1:18" ht="16.5" customHeight="1" x14ac:dyDescent="0.2">
      <c r="A11" s="37"/>
      <c r="B11" s="60" t="s">
        <v>7</v>
      </c>
      <c r="C11" s="46" t="s">
        <v>22</v>
      </c>
      <c r="D11" s="56" t="s">
        <v>19</v>
      </c>
      <c r="E11" s="56" t="s">
        <v>23</v>
      </c>
      <c r="F11" s="56" t="s">
        <v>18</v>
      </c>
      <c r="G11" s="49">
        <f t="shared" ref="G11:L11" si="1">H11-1</f>
        <v>46208</v>
      </c>
      <c r="H11" s="49">
        <f t="shared" si="1"/>
        <v>46209</v>
      </c>
      <c r="I11" s="49">
        <f t="shared" si="1"/>
        <v>46210</v>
      </c>
      <c r="J11" s="49">
        <f t="shared" si="1"/>
        <v>46211</v>
      </c>
      <c r="K11" s="49">
        <f t="shared" si="1"/>
        <v>46212</v>
      </c>
      <c r="L11" s="49">
        <f t="shared" si="1"/>
        <v>46213</v>
      </c>
      <c r="M11" s="49">
        <f>K8</f>
        <v>46214</v>
      </c>
      <c r="N11" s="45" t="s">
        <v>8</v>
      </c>
      <c r="O11" s="45" t="s">
        <v>9</v>
      </c>
    </row>
    <row r="12" spans="1:18" ht="10.5" customHeight="1" x14ac:dyDescent="0.2">
      <c r="A12" s="42"/>
      <c r="B12" s="34"/>
      <c r="C12" s="34"/>
      <c r="D12" s="43"/>
      <c r="E12" s="43"/>
      <c r="F12" s="43"/>
      <c r="G12" s="50"/>
      <c r="H12" s="50"/>
      <c r="I12" s="50"/>
      <c r="J12" s="50"/>
      <c r="K12" s="50"/>
      <c r="L12" s="50"/>
      <c r="M12" s="50"/>
      <c r="N12" s="44"/>
      <c r="O12" s="44"/>
    </row>
    <row r="13" spans="1:18" ht="0.75" customHeight="1" x14ac:dyDescent="0.2">
      <c r="A13" s="51"/>
      <c r="B13" s="52"/>
      <c r="C13" s="52"/>
      <c r="D13" s="53"/>
      <c r="E13" s="53"/>
      <c r="F13" s="53"/>
      <c r="G13" s="54"/>
      <c r="H13" s="54"/>
      <c r="I13" s="54"/>
      <c r="J13" s="54"/>
      <c r="K13" s="54"/>
      <c r="L13" s="54"/>
      <c r="M13" s="54"/>
      <c r="N13" s="55"/>
      <c r="O13" s="55"/>
    </row>
    <row r="14" spans="1:18" s="19" customFormat="1" ht="15" customHeight="1" x14ac:dyDescent="0.25">
      <c r="A14" s="47"/>
      <c r="B14" s="63"/>
      <c r="C14" s="64"/>
      <c r="D14" s="65"/>
      <c r="E14" s="66"/>
      <c r="F14" s="65"/>
      <c r="G14" s="67"/>
      <c r="H14" s="68"/>
      <c r="I14" s="68"/>
      <c r="J14" s="68"/>
      <c r="K14" s="68"/>
      <c r="L14" s="68"/>
      <c r="M14" s="68"/>
      <c r="N14" s="68"/>
      <c r="O14" s="69">
        <f>SUM(G14:M14)</f>
        <v>0</v>
      </c>
      <c r="R14"/>
    </row>
    <row r="15" spans="1:18" ht="15" customHeight="1" x14ac:dyDescent="0.2">
      <c r="A15" s="30"/>
      <c r="B15" s="19"/>
      <c r="C15" s="19"/>
      <c r="D15" s="19"/>
      <c r="E15" s="19"/>
      <c r="F15" s="19"/>
      <c r="G15" s="29"/>
      <c r="H15" s="29"/>
      <c r="I15" s="29"/>
      <c r="J15" s="29"/>
      <c r="K15" s="29"/>
      <c r="L15" s="29"/>
      <c r="M15" s="29"/>
      <c r="N15" s="29"/>
      <c r="O15" s="29"/>
    </row>
    <row r="16" spans="1:18" ht="16.5" customHeight="1" x14ac:dyDescent="0.25">
      <c r="A16" s="39" t="s">
        <v>10</v>
      </c>
      <c r="B16" s="40"/>
      <c r="C16" s="62"/>
      <c r="D16" s="18"/>
      <c r="E16" s="18"/>
      <c r="F16" s="18"/>
      <c r="G16" s="41">
        <f t="shared" ref="G16:O16" si="2">SUM(G14:G15)</f>
        <v>0</v>
      </c>
      <c r="H16" s="41">
        <f t="shared" si="2"/>
        <v>0</v>
      </c>
      <c r="I16" s="41">
        <f t="shared" si="2"/>
        <v>0</v>
      </c>
      <c r="J16" s="41">
        <f t="shared" si="2"/>
        <v>0</v>
      </c>
      <c r="K16" s="41">
        <f t="shared" si="2"/>
        <v>0</v>
      </c>
      <c r="L16" s="41">
        <f t="shared" si="2"/>
        <v>0</v>
      </c>
      <c r="M16" s="41">
        <f t="shared" si="2"/>
        <v>0</v>
      </c>
      <c r="N16" s="41">
        <f t="shared" si="2"/>
        <v>0</v>
      </c>
      <c r="O16" s="41">
        <f t="shared" si="2"/>
        <v>0</v>
      </c>
      <c r="P16" s="38">
        <f>SUM(N16:O16)</f>
        <v>0</v>
      </c>
    </row>
    <row r="17" spans="1:13" ht="14.25" customHeight="1" x14ac:dyDescent="0.2"/>
    <row r="18" spans="1:13" ht="14.25" customHeight="1" x14ac:dyDescent="0.2">
      <c r="A18" s="20" t="s">
        <v>21</v>
      </c>
      <c r="B18" s="21"/>
      <c r="C18" s="21"/>
      <c r="D18" s="22"/>
      <c r="E18" s="22"/>
      <c r="F18" s="22"/>
      <c r="G18" s="22"/>
      <c r="H18" s="22"/>
      <c r="I18" s="22"/>
      <c r="J18" s="22"/>
      <c r="K18" s="23" t="s">
        <v>11</v>
      </c>
      <c r="L18" s="24"/>
      <c r="M18" s="3"/>
    </row>
    <row r="19" spans="1:13" ht="14.25" customHeight="1" x14ac:dyDescent="0.2">
      <c r="A19" s="25"/>
      <c r="B19" s="34"/>
      <c r="D19" t="s">
        <v>16</v>
      </c>
      <c r="K19" s="26"/>
      <c r="L19" s="73">
        <f ca="1">NOW()</f>
        <v>46305.419900115739</v>
      </c>
      <c r="M19" s="74"/>
    </row>
    <row r="20" spans="1:13" ht="14.25" customHeight="1" x14ac:dyDescent="0.2">
      <c r="A20" s="20" t="s">
        <v>14</v>
      </c>
      <c r="B20" s="21"/>
      <c r="C20" s="21"/>
      <c r="D20" s="22"/>
      <c r="E20" s="22"/>
      <c r="F20" s="22"/>
      <c r="G20" s="22"/>
      <c r="H20" s="22"/>
      <c r="I20" s="22"/>
      <c r="J20" s="22"/>
      <c r="K20" s="23" t="s">
        <v>11</v>
      </c>
      <c r="L20" s="24"/>
      <c r="M20" s="3"/>
    </row>
    <row r="21" spans="1:13" ht="14.25" customHeight="1" x14ac:dyDescent="0.2">
      <c r="A21" s="25"/>
      <c r="K21" s="26"/>
      <c r="L21" s="27"/>
      <c r="M21" s="28"/>
    </row>
    <row r="22" spans="1:13" ht="14.25" customHeight="1" x14ac:dyDescent="0.2">
      <c r="A22" s="23" t="s">
        <v>12</v>
      </c>
      <c r="B22" s="22"/>
      <c r="C22" s="22"/>
      <c r="D22" s="22"/>
      <c r="E22" s="22"/>
      <c r="F22" s="22"/>
      <c r="G22" s="22"/>
      <c r="H22" s="22"/>
      <c r="I22" s="22"/>
      <c r="J22" s="22"/>
      <c r="K22" s="23" t="s">
        <v>11</v>
      </c>
      <c r="L22" s="22"/>
      <c r="M22" s="3"/>
    </row>
    <row r="23" spans="1:13" ht="14.25" customHeight="1" x14ac:dyDescent="0.2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6"/>
      <c r="L23" s="27"/>
      <c r="M23" s="28"/>
    </row>
    <row r="24" spans="1:13" x14ac:dyDescent="0.2">
      <c r="A24" t="s">
        <v>13</v>
      </c>
    </row>
  </sheetData>
  <mergeCells count="4">
    <mergeCell ref="M1:O4"/>
    <mergeCell ref="G8:H8"/>
    <mergeCell ref="I8:J8"/>
    <mergeCell ref="L19:M19"/>
  </mergeCells>
  <printOptions horizontalCentered="1" verticalCentered="1"/>
  <pageMargins left="0.14000000000000001" right="0.12" top="0.54" bottom="0.47" header="0.5" footer="0.38"/>
  <pageSetup scale="91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pad.Document.1" shapeId="21505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21505" r:id="rId4"/>
      </mc:Fallback>
    </mc:AlternateContent>
    <mc:AlternateContent xmlns:mc="http://schemas.openxmlformats.org/markup-compatibility/2006">
      <mc:Choice Requires="x14">
        <oleObject progId="Wordpad.Document.1" shapeId="21508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21508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506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7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2AAA-62B2-4A83-9189-A2690C6EB3AD}">
  <sheetPr>
    <pageSetUpPr fitToPage="1"/>
  </sheetPr>
  <dimension ref="A1:R24"/>
  <sheetViews>
    <sheetView zoomScale="75" workbookViewId="0">
      <selection activeCell="H47" sqref="H47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width="7.42578125" hidden="1" customWidth="1"/>
    <col min="5" max="5" width="10.5703125" customWidth="1"/>
    <col min="6" max="6" width="8" customWidth="1"/>
    <col min="7" max="13" width="12" customWidth="1"/>
    <col min="14" max="14" width="11.7109375" customWidth="1"/>
    <col min="15" max="15" width="11" customWidth="1"/>
  </cols>
  <sheetData>
    <row r="1" spans="1:18" ht="17.25" customHeight="1" x14ac:dyDescent="0.45">
      <c r="A1" s="5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75" t="s">
        <v>15</v>
      </c>
      <c r="N1" s="75"/>
      <c r="O1" s="75"/>
    </row>
    <row r="2" spans="1:18" ht="22.5" customHeight="1" x14ac:dyDescent="0.45">
      <c r="A2" s="57"/>
      <c r="B2" s="57"/>
      <c r="C2" s="57"/>
      <c r="D2" s="59"/>
      <c r="E2" s="59"/>
      <c r="F2" s="59"/>
      <c r="G2" s="71"/>
      <c r="H2" s="57"/>
      <c r="I2" s="57"/>
      <c r="J2" s="57"/>
      <c r="K2" s="57"/>
      <c r="L2" s="57"/>
      <c r="M2" s="75"/>
      <c r="N2" s="75"/>
      <c r="O2" s="75"/>
    </row>
    <row r="3" spans="1:18" ht="18.75" customHeight="1" x14ac:dyDescent="0.45">
      <c r="A3" s="57"/>
      <c r="B3" s="71" t="s">
        <v>24</v>
      </c>
      <c r="C3" s="57"/>
      <c r="D3" s="59"/>
      <c r="E3" s="59"/>
      <c r="F3" s="59"/>
      <c r="G3" s="72"/>
      <c r="H3" s="57"/>
      <c r="I3" s="57"/>
      <c r="J3" s="57"/>
      <c r="K3" s="57"/>
      <c r="L3" s="57"/>
      <c r="M3" s="75"/>
      <c r="N3" s="75"/>
      <c r="O3" s="75"/>
    </row>
    <row r="4" spans="1:18" ht="21" customHeight="1" x14ac:dyDescent="0.45">
      <c r="A4" s="57"/>
      <c r="B4" s="72" t="s">
        <v>25</v>
      </c>
      <c r="C4" s="57"/>
      <c r="D4" s="57"/>
      <c r="E4" s="57"/>
      <c r="F4" s="57"/>
      <c r="G4" s="71"/>
      <c r="H4" s="57"/>
      <c r="I4" s="57"/>
      <c r="J4" s="57"/>
      <c r="K4" s="57"/>
      <c r="L4" s="57"/>
      <c r="M4" s="75"/>
      <c r="N4" s="75"/>
      <c r="O4" s="75"/>
    </row>
    <row r="5" spans="1:18" ht="18.75" customHeight="1" x14ac:dyDescent="0.45">
      <c r="A5" s="57"/>
      <c r="B5" s="71" t="s">
        <v>26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7" spans="1:18" s="9" customFormat="1" ht="16.5" customHeight="1" x14ac:dyDescent="0.2">
      <c r="A7" s="1" t="s">
        <v>20</v>
      </c>
      <c r="B7" s="2"/>
      <c r="C7" s="2"/>
      <c r="D7" s="3"/>
      <c r="E7" s="22"/>
      <c r="F7" s="22"/>
      <c r="G7" s="4" t="s">
        <v>0</v>
      </c>
      <c r="H7" s="5"/>
      <c r="I7" s="4" t="s">
        <v>1</v>
      </c>
      <c r="J7" s="5"/>
      <c r="K7" s="4" t="s">
        <v>2</v>
      </c>
      <c r="L7" s="5"/>
      <c r="M7" s="6"/>
      <c r="N7" s="7" t="s">
        <v>3</v>
      </c>
      <c r="O7" s="8"/>
    </row>
    <row r="8" spans="1:18" ht="16.5" customHeight="1" x14ac:dyDescent="0.25">
      <c r="A8" s="10" t="s">
        <v>28</v>
      </c>
      <c r="B8" s="11"/>
      <c r="C8" s="11"/>
      <c r="D8" s="12"/>
      <c r="E8" s="61"/>
      <c r="F8" s="61"/>
      <c r="G8" s="76" t="s">
        <v>27</v>
      </c>
      <c r="H8" s="77"/>
      <c r="I8" s="78" t="s">
        <v>17</v>
      </c>
      <c r="J8" s="79"/>
      <c r="K8" s="13">
        <f>'C1 W1'!K8+7</f>
        <v>46214</v>
      </c>
      <c r="L8" s="14"/>
      <c r="M8" s="15"/>
      <c r="N8" s="16" t="s">
        <v>4</v>
      </c>
      <c r="O8" s="17"/>
    </row>
    <row r="9" spans="1:18" ht="16.5" customHeight="1" x14ac:dyDescent="0.2"/>
    <row r="10" spans="1:18" ht="16.5" customHeight="1" x14ac:dyDescent="0.2">
      <c r="A10" s="35" t="s">
        <v>5</v>
      </c>
      <c r="B10" s="36"/>
      <c r="C10" s="36"/>
      <c r="D10" s="31"/>
      <c r="E10" s="31"/>
      <c r="F10" s="31"/>
      <c r="G10" s="48">
        <f t="shared" ref="G10:M10" si="0">G11</f>
        <v>46208</v>
      </c>
      <c r="H10" s="48">
        <f t="shared" si="0"/>
        <v>46209</v>
      </c>
      <c r="I10" s="48">
        <f t="shared" si="0"/>
        <v>46210</v>
      </c>
      <c r="J10" s="48">
        <f t="shared" si="0"/>
        <v>46211</v>
      </c>
      <c r="K10" s="48">
        <f t="shared" si="0"/>
        <v>46212</v>
      </c>
      <c r="L10" s="48">
        <f t="shared" si="0"/>
        <v>46213</v>
      </c>
      <c r="M10" s="48">
        <f t="shared" si="0"/>
        <v>46214</v>
      </c>
      <c r="N10" s="32" t="s">
        <v>6</v>
      </c>
      <c r="O10" s="33"/>
    </row>
    <row r="11" spans="1:18" ht="16.5" customHeight="1" x14ac:dyDescent="0.2">
      <c r="A11" s="37"/>
      <c r="B11" s="60" t="s">
        <v>7</v>
      </c>
      <c r="C11" s="46" t="s">
        <v>22</v>
      </c>
      <c r="D11" s="56" t="s">
        <v>19</v>
      </c>
      <c r="E11" s="56" t="s">
        <v>23</v>
      </c>
      <c r="F11" s="56" t="s">
        <v>18</v>
      </c>
      <c r="G11" s="49">
        <f t="shared" ref="G11:L11" si="1">H11-1</f>
        <v>46208</v>
      </c>
      <c r="H11" s="49">
        <f t="shared" si="1"/>
        <v>46209</v>
      </c>
      <c r="I11" s="49">
        <f t="shared" si="1"/>
        <v>46210</v>
      </c>
      <c r="J11" s="49">
        <f t="shared" si="1"/>
        <v>46211</v>
      </c>
      <c r="K11" s="49">
        <f t="shared" si="1"/>
        <v>46212</v>
      </c>
      <c r="L11" s="49">
        <f t="shared" si="1"/>
        <v>46213</v>
      </c>
      <c r="M11" s="49">
        <f>K8</f>
        <v>46214</v>
      </c>
      <c r="N11" s="45" t="s">
        <v>8</v>
      </c>
      <c r="O11" s="45" t="s">
        <v>9</v>
      </c>
    </row>
    <row r="12" spans="1:18" ht="10.5" customHeight="1" x14ac:dyDescent="0.2">
      <c r="A12" s="42"/>
      <c r="B12" s="34"/>
      <c r="C12" s="34"/>
      <c r="D12" s="43"/>
      <c r="E12" s="43"/>
      <c r="F12" s="43"/>
      <c r="G12" s="50"/>
      <c r="H12" s="50"/>
      <c r="I12" s="50"/>
      <c r="J12" s="50"/>
      <c r="K12" s="50"/>
      <c r="L12" s="50"/>
      <c r="M12" s="50"/>
      <c r="N12" s="44"/>
      <c r="O12" s="44"/>
    </row>
    <row r="13" spans="1:18" ht="0.75" customHeight="1" x14ac:dyDescent="0.2">
      <c r="A13" s="51"/>
      <c r="B13" s="52"/>
      <c r="C13" s="52"/>
      <c r="D13" s="53"/>
      <c r="E13" s="53"/>
      <c r="F13" s="53"/>
      <c r="G13" s="54"/>
      <c r="H13" s="54"/>
      <c r="I13" s="54"/>
      <c r="J13" s="54"/>
      <c r="K13" s="54"/>
      <c r="L13" s="54"/>
      <c r="M13" s="54"/>
      <c r="N13" s="55"/>
      <c r="O13" s="55"/>
    </row>
    <row r="14" spans="1:18" s="19" customFormat="1" ht="15" customHeight="1" x14ac:dyDescent="0.25">
      <c r="A14" s="47"/>
      <c r="B14" s="63"/>
      <c r="C14" s="64"/>
      <c r="D14" s="65"/>
      <c r="E14" s="66"/>
      <c r="F14" s="65"/>
      <c r="G14" s="67"/>
      <c r="H14" s="68"/>
      <c r="I14" s="68"/>
      <c r="J14" s="68"/>
      <c r="K14" s="68"/>
      <c r="L14" s="68"/>
      <c r="M14" s="68"/>
      <c r="N14" s="68"/>
      <c r="O14" s="69">
        <f>SUM(G14:M14)</f>
        <v>0</v>
      </c>
      <c r="R14"/>
    </row>
    <row r="15" spans="1:18" ht="15" customHeight="1" x14ac:dyDescent="0.2">
      <c r="A15" s="30"/>
      <c r="B15" s="19"/>
      <c r="C15" s="19"/>
      <c r="D15" s="19"/>
      <c r="E15" s="19"/>
      <c r="F15" s="19"/>
      <c r="G15" s="29"/>
      <c r="H15" s="29"/>
      <c r="I15" s="29"/>
      <c r="J15" s="29"/>
      <c r="K15" s="29"/>
      <c r="L15" s="29"/>
      <c r="M15" s="29"/>
      <c r="N15" s="29"/>
      <c r="O15" s="29"/>
    </row>
    <row r="16" spans="1:18" ht="16.5" customHeight="1" x14ac:dyDescent="0.25">
      <c r="A16" s="39" t="s">
        <v>10</v>
      </c>
      <c r="B16" s="40"/>
      <c r="C16" s="62"/>
      <c r="D16" s="18"/>
      <c r="E16" s="18"/>
      <c r="F16" s="18"/>
      <c r="G16" s="41">
        <f t="shared" ref="G16:O16" si="2">SUM(G14:G15)</f>
        <v>0</v>
      </c>
      <c r="H16" s="41">
        <f t="shared" si="2"/>
        <v>0</v>
      </c>
      <c r="I16" s="41">
        <f t="shared" si="2"/>
        <v>0</v>
      </c>
      <c r="J16" s="41">
        <f t="shared" si="2"/>
        <v>0</v>
      </c>
      <c r="K16" s="41">
        <f t="shared" si="2"/>
        <v>0</v>
      </c>
      <c r="L16" s="41">
        <f t="shared" si="2"/>
        <v>0</v>
      </c>
      <c r="M16" s="41">
        <f t="shared" si="2"/>
        <v>0</v>
      </c>
      <c r="N16" s="41">
        <f t="shared" si="2"/>
        <v>0</v>
      </c>
      <c r="O16" s="41">
        <f t="shared" si="2"/>
        <v>0</v>
      </c>
      <c r="P16" s="38">
        <f>SUM(N16:O16)</f>
        <v>0</v>
      </c>
    </row>
    <row r="17" spans="1:13" ht="14.25" customHeight="1" x14ac:dyDescent="0.2"/>
    <row r="18" spans="1:13" ht="14.25" customHeight="1" x14ac:dyDescent="0.2">
      <c r="A18" s="20" t="s">
        <v>21</v>
      </c>
      <c r="B18" s="21"/>
      <c r="C18" s="21"/>
      <c r="D18" s="22"/>
      <c r="E18" s="22"/>
      <c r="F18" s="22"/>
      <c r="G18" s="22"/>
      <c r="H18" s="22"/>
      <c r="I18" s="22"/>
      <c r="J18" s="22"/>
      <c r="K18" s="23" t="s">
        <v>11</v>
      </c>
      <c r="L18" s="24"/>
      <c r="M18" s="3"/>
    </row>
    <row r="19" spans="1:13" ht="14.25" customHeight="1" x14ac:dyDescent="0.2">
      <c r="A19" s="25"/>
      <c r="B19" s="34"/>
      <c r="D19" t="s">
        <v>16</v>
      </c>
      <c r="K19" s="26"/>
      <c r="L19" s="73">
        <f ca="1">NOW()</f>
        <v>46305.419900115739</v>
      </c>
      <c r="M19" s="74"/>
    </row>
    <row r="20" spans="1:13" ht="14.25" customHeight="1" x14ac:dyDescent="0.2">
      <c r="A20" s="20" t="s">
        <v>14</v>
      </c>
      <c r="B20" s="21"/>
      <c r="C20" s="21"/>
      <c r="D20" s="22"/>
      <c r="E20" s="22"/>
      <c r="F20" s="22"/>
      <c r="G20" s="22"/>
      <c r="H20" s="22"/>
      <c r="I20" s="22"/>
      <c r="J20" s="22"/>
      <c r="K20" s="23" t="s">
        <v>11</v>
      </c>
      <c r="L20" s="24"/>
      <c r="M20" s="3"/>
    </row>
    <row r="21" spans="1:13" ht="14.25" customHeight="1" x14ac:dyDescent="0.2">
      <c r="A21" s="25"/>
      <c r="K21" s="26"/>
      <c r="L21" s="27"/>
      <c r="M21" s="28"/>
    </row>
    <row r="22" spans="1:13" ht="14.25" customHeight="1" x14ac:dyDescent="0.2">
      <c r="A22" s="23" t="s">
        <v>12</v>
      </c>
      <c r="B22" s="22"/>
      <c r="C22" s="22"/>
      <c r="D22" s="22"/>
      <c r="E22" s="22"/>
      <c r="F22" s="22"/>
      <c r="G22" s="22"/>
      <c r="H22" s="22"/>
      <c r="I22" s="22"/>
      <c r="J22" s="22"/>
      <c r="K22" s="23" t="s">
        <v>11</v>
      </c>
      <c r="L22" s="22"/>
      <c r="M22" s="3"/>
    </row>
    <row r="23" spans="1:13" ht="14.25" customHeight="1" x14ac:dyDescent="0.2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6"/>
      <c r="L23" s="27"/>
      <c r="M23" s="28"/>
    </row>
    <row r="24" spans="1:13" x14ac:dyDescent="0.2">
      <c r="A24" t="s">
        <v>13</v>
      </c>
    </row>
  </sheetData>
  <mergeCells count="4">
    <mergeCell ref="M1:O4"/>
    <mergeCell ref="G8:H8"/>
    <mergeCell ref="I8:J8"/>
    <mergeCell ref="L19:M19"/>
  </mergeCells>
  <printOptions horizontalCentered="1" verticalCentered="1"/>
  <pageMargins left="0.14000000000000001" right="0.12" top="0.54" bottom="0.47" header="0.5" footer="0.38"/>
  <pageSetup scale="91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pad.Document.1" shapeId="22529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22529" r:id="rId4"/>
      </mc:Fallback>
    </mc:AlternateContent>
    <mc:AlternateContent xmlns:mc="http://schemas.openxmlformats.org/markup-compatibility/2006">
      <mc:Choice Requires="x14">
        <oleObject progId="Wordpad.Document.1" shapeId="22532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22532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530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531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E3AE3-E07D-48C2-9D39-B3609B70FE1E}">
  <sheetPr>
    <pageSetUpPr fitToPage="1"/>
  </sheetPr>
  <dimension ref="A1:R24"/>
  <sheetViews>
    <sheetView zoomScale="75" workbookViewId="0">
      <selection activeCell="H47" sqref="H47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width="7.42578125" hidden="1" customWidth="1"/>
    <col min="5" max="5" width="10.5703125" customWidth="1"/>
    <col min="6" max="6" width="8" customWidth="1"/>
    <col min="7" max="13" width="12" customWidth="1"/>
    <col min="14" max="14" width="11.7109375" customWidth="1"/>
    <col min="15" max="15" width="11" customWidth="1"/>
  </cols>
  <sheetData>
    <row r="1" spans="1:18" ht="17.25" customHeight="1" x14ac:dyDescent="0.45">
      <c r="A1" s="5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75" t="s">
        <v>15</v>
      </c>
      <c r="N1" s="75"/>
      <c r="O1" s="75"/>
    </row>
    <row r="2" spans="1:18" ht="22.5" customHeight="1" x14ac:dyDescent="0.45">
      <c r="A2" s="57"/>
      <c r="B2" s="57"/>
      <c r="C2" s="57"/>
      <c r="D2" s="59"/>
      <c r="E2" s="59"/>
      <c r="F2" s="59"/>
      <c r="G2" s="71"/>
      <c r="H2" s="57"/>
      <c r="I2" s="57"/>
      <c r="J2" s="57"/>
      <c r="K2" s="57"/>
      <c r="L2" s="57"/>
      <c r="M2" s="75"/>
      <c r="N2" s="75"/>
      <c r="O2" s="75"/>
    </row>
    <row r="3" spans="1:18" ht="18.75" customHeight="1" x14ac:dyDescent="0.45">
      <c r="A3" s="57"/>
      <c r="B3" s="71" t="s">
        <v>24</v>
      </c>
      <c r="C3" s="57"/>
      <c r="D3" s="59"/>
      <c r="E3" s="59"/>
      <c r="F3" s="59"/>
      <c r="G3" s="72"/>
      <c r="H3" s="57"/>
      <c r="I3" s="57"/>
      <c r="J3" s="57"/>
      <c r="K3" s="57"/>
      <c r="L3" s="57"/>
      <c r="M3" s="75"/>
      <c r="N3" s="75"/>
      <c r="O3" s="75"/>
    </row>
    <row r="4" spans="1:18" ht="21" customHeight="1" x14ac:dyDescent="0.45">
      <c r="A4" s="57"/>
      <c r="B4" s="72" t="s">
        <v>25</v>
      </c>
      <c r="C4" s="57"/>
      <c r="D4" s="57"/>
      <c r="E4" s="57"/>
      <c r="F4" s="57"/>
      <c r="G4" s="71"/>
      <c r="H4" s="57"/>
      <c r="I4" s="57"/>
      <c r="J4" s="57"/>
      <c r="K4" s="57"/>
      <c r="L4" s="57"/>
      <c r="M4" s="75"/>
      <c r="N4" s="75"/>
      <c r="O4" s="75"/>
    </row>
    <row r="5" spans="1:18" ht="18.75" customHeight="1" x14ac:dyDescent="0.45">
      <c r="A5" s="57"/>
      <c r="B5" s="71" t="s">
        <v>26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7" spans="1:18" s="9" customFormat="1" ht="16.5" customHeight="1" x14ac:dyDescent="0.2">
      <c r="A7" s="1" t="s">
        <v>20</v>
      </c>
      <c r="B7" s="2"/>
      <c r="C7" s="2"/>
      <c r="D7" s="3"/>
      <c r="E7" s="22"/>
      <c r="F7" s="22"/>
      <c r="G7" s="4" t="s">
        <v>0</v>
      </c>
      <c r="H7" s="5"/>
      <c r="I7" s="4" t="s">
        <v>1</v>
      </c>
      <c r="J7" s="5"/>
      <c r="K7" s="4" t="s">
        <v>2</v>
      </c>
      <c r="L7" s="5"/>
      <c r="M7" s="6"/>
      <c r="N7" s="7" t="s">
        <v>3</v>
      </c>
      <c r="O7" s="8"/>
    </row>
    <row r="8" spans="1:18" ht="16.5" customHeight="1" x14ac:dyDescent="0.25">
      <c r="A8" s="10" t="s">
        <v>28</v>
      </c>
      <c r="B8" s="11"/>
      <c r="C8" s="11"/>
      <c r="D8" s="12"/>
      <c r="E8" s="61"/>
      <c r="F8" s="61"/>
      <c r="G8" s="76" t="s">
        <v>27</v>
      </c>
      <c r="H8" s="77"/>
      <c r="I8" s="78" t="s">
        <v>17</v>
      </c>
      <c r="J8" s="79"/>
      <c r="K8" s="13">
        <f>'C1 W1'!K8+7</f>
        <v>46214</v>
      </c>
      <c r="L8" s="14"/>
      <c r="M8" s="15"/>
      <c r="N8" s="16" t="s">
        <v>4</v>
      </c>
      <c r="O8" s="17"/>
    </row>
    <row r="9" spans="1:18" ht="16.5" customHeight="1" x14ac:dyDescent="0.2"/>
    <row r="10" spans="1:18" ht="16.5" customHeight="1" x14ac:dyDescent="0.2">
      <c r="A10" s="35" t="s">
        <v>5</v>
      </c>
      <c r="B10" s="36"/>
      <c r="C10" s="36"/>
      <c r="D10" s="31"/>
      <c r="E10" s="31"/>
      <c r="F10" s="31"/>
      <c r="G10" s="48">
        <f t="shared" ref="G10:M10" si="0">G11</f>
        <v>46208</v>
      </c>
      <c r="H10" s="48">
        <f t="shared" si="0"/>
        <v>46209</v>
      </c>
      <c r="I10" s="48">
        <f t="shared" si="0"/>
        <v>46210</v>
      </c>
      <c r="J10" s="48">
        <f t="shared" si="0"/>
        <v>46211</v>
      </c>
      <c r="K10" s="48">
        <f t="shared" si="0"/>
        <v>46212</v>
      </c>
      <c r="L10" s="48">
        <f t="shared" si="0"/>
        <v>46213</v>
      </c>
      <c r="M10" s="48">
        <f t="shared" si="0"/>
        <v>46214</v>
      </c>
      <c r="N10" s="32" t="s">
        <v>6</v>
      </c>
      <c r="O10" s="33"/>
    </row>
    <row r="11" spans="1:18" ht="16.5" customHeight="1" x14ac:dyDescent="0.2">
      <c r="A11" s="37"/>
      <c r="B11" s="60" t="s">
        <v>7</v>
      </c>
      <c r="C11" s="46" t="s">
        <v>22</v>
      </c>
      <c r="D11" s="56" t="s">
        <v>19</v>
      </c>
      <c r="E11" s="56" t="s">
        <v>23</v>
      </c>
      <c r="F11" s="56" t="s">
        <v>18</v>
      </c>
      <c r="G11" s="49">
        <f t="shared" ref="G11:L11" si="1">H11-1</f>
        <v>46208</v>
      </c>
      <c r="H11" s="49">
        <f t="shared" si="1"/>
        <v>46209</v>
      </c>
      <c r="I11" s="49">
        <f t="shared" si="1"/>
        <v>46210</v>
      </c>
      <c r="J11" s="49">
        <f t="shared" si="1"/>
        <v>46211</v>
      </c>
      <c r="K11" s="49">
        <f t="shared" si="1"/>
        <v>46212</v>
      </c>
      <c r="L11" s="49">
        <f t="shared" si="1"/>
        <v>46213</v>
      </c>
      <c r="M11" s="49">
        <f>K8</f>
        <v>46214</v>
      </c>
      <c r="N11" s="45" t="s">
        <v>8</v>
      </c>
      <c r="O11" s="45" t="s">
        <v>9</v>
      </c>
    </row>
    <row r="12" spans="1:18" ht="10.5" customHeight="1" x14ac:dyDescent="0.2">
      <c r="A12" s="42"/>
      <c r="B12" s="34"/>
      <c r="C12" s="34"/>
      <c r="D12" s="43"/>
      <c r="E12" s="43"/>
      <c r="F12" s="43"/>
      <c r="G12" s="50"/>
      <c r="H12" s="50"/>
      <c r="I12" s="50"/>
      <c r="J12" s="50"/>
      <c r="K12" s="50"/>
      <c r="L12" s="50"/>
      <c r="M12" s="50"/>
      <c r="N12" s="44"/>
      <c r="O12" s="44"/>
    </row>
    <row r="13" spans="1:18" ht="0.75" customHeight="1" x14ac:dyDescent="0.2">
      <c r="A13" s="51"/>
      <c r="B13" s="52"/>
      <c r="C13" s="52"/>
      <c r="D13" s="53"/>
      <c r="E13" s="53"/>
      <c r="F13" s="53"/>
      <c r="G13" s="54"/>
      <c r="H13" s="54"/>
      <c r="I13" s="54"/>
      <c r="J13" s="54"/>
      <c r="K13" s="54"/>
      <c r="L13" s="54"/>
      <c r="M13" s="54"/>
      <c r="N13" s="55"/>
      <c r="O13" s="55"/>
    </row>
    <row r="14" spans="1:18" s="19" customFormat="1" ht="15" customHeight="1" x14ac:dyDescent="0.25">
      <c r="A14" s="47"/>
      <c r="B14" s="63"/>
      <c r="C14" s="64"/>
      <c r="D14" s="65"/>
      <c r="E14" s="66"/>
      <c r="F14" s="65"/>
      <c r="G14" s="67"/>
      <c r="H14" s="68"/>
      <c r="I14" s="68"/>
      <c r="J14" s="68"/>
      <c r="K14" s="68"/>
      <c r="L14" s="68"/>
      <c r="M14" s="68"/>
      <c r="N14" s="68"/>
      <c r="O14" s="69">
        <f>SUM(G14:M14)</f>
        <v>0</v>
      </c>
      <c r="R14"/>
    </row>
    <row r="15" spans="1:18" ht="15" customHeight="1" x14ac:dyDescent="0.2">
      <c r="A15" s="30"/>
      <c r="B15" s="19"/>
      <c r="C15" s="19"/>
      <c r="D15" s="19"/>
      <c r="E15" s="19"/>
      <c r="F15" s="19"/>
      <c r="G15" s="29"/>
      <c r="H15" s="29"/>
      <c r="I15" s="29"/>
      <c r="J15" s="29"/>
      <c r="K15" s="29"/>
      <c r="L15" s="29"/>
      <c r="M15" s="29"/>
      <c r="N15" s="29"/>
      <c r="O15" s="29"/>
    </row>
    <row r="16" spans="1:18" ht="16.5" customHeight="1" x14ac:dyDescent="0.25">
      <c r="A16" s="39" t="s">
        <v>10</v>
      </c>
      <c r="B16" s="40"/>
      <c r="C16" s="62"/>
      <c r="D16" s="18"/>
      <c r="E16" s="18"/>
      <c r="F16" s="18"/>
      <c r="G16" s="41">
        <f t="shared" ref="G16:O16" si="2">SUM(G14:G15)</f>
        <v>0</v>
      </c>
      <c r="H16" s="41">
        <f t="shared" si="2"/>
        <v>0</v>
      </c>
      <c r="I16" s="41">
        <f t="shared" si="2"/>
        <v>0</v>
      </c>
      <c r="J16" s="41">
        <f t="shared" si="2"/>
        <v>0</v>
      </c>
      <c r="K16" s="41">
        <f t="shared" si="2"/>
        <v>0</v>
      </c>
      <c r="L16" s="41">
        <f t="shared" si="2"/>
        <v>0</v>
      </c>
      <c r="M16" s="41">
        <f t="shared" si="2"/>
        <v>0</v>
      </c>
      <c r="N16" s="41">
        <f t="shared" si="2"/>
        <v>0</v>
      </c>
      <c r="O16" s="41">
        <f t="shared" si="2"/>
        <v>0</v>
      </c>
      <c r="P16" s="38">
        <f>SUM(N16:O16)</f>
        <v>0</v>
      </c>
    </row>
    <row r="17" spans="1:13" ht="14.25" customHeight="1" x14ac:dyDescent="0.2"/>
    <row r="18" spans="1:13" ht="14.25" customHeight="1" x14ac:dyDescent="0.2">
      <c r="A18" s="20" t="s">
        <v>21</v>
      </c>
      <c r="B18" s="21"/>
      <c r="C18" s="21"/>
      <c r="D18" s="22"/>
      <c r="E18" s="22"/>
      <c r="F18" s="22"/>
      <c r="G18" s="22"/>
      <c r="H18" s="22"/>
      <c r="I18" s="22"/>
      <c r="J18" s="22"/>
      <c r="K18" s="23" t="s">
        <v>11</v>
      </c>
      <c r="L18" s="24"/>
      <c r="M18" s="3"/>
    </row>
    <row r="19" spans="1:13" ht="14.25" customHeight="1" x14ac:dyDescent="0.2">
      <c r="A19" s="25"/>
      <c r="B19" s="34"/>
      <c r="D19" t="s">
        <v>16</v>
      </c>
      <c r="K19" s="26"/>
      <c r="L19" s="73">
        <f ca="1">NOW()</f>
        <v>46305.419900115739</v>
      </c>
      <c r="M19" s="74"/>
    </row>
    <row r="20" spans="1:13" ht="14.25" customHeight="1" x14ac:dyDescent="0.2">
      <c r="A20" s="20" t="s">
        <v>14</v>
      </c>
      <c r="B20" s="21"/>
      <c r="C20" s="21"/>
      <c r="D20" s="22"/>
      <c r="E20" s="22"/>
      <c r="F20" s="22"/>
      <c r="G20" s="22"/>
      <c r="H20" s="22"/>
      <c r="I20" s="22"/>
      <c r="J20" s="22"/>
      <c r="K20" s="23" t="s">
        <v>11</v>
      </c>
      <c r="L20" s="24"/>
      <c r="M20" s="3"/>
    </row>
    <row r="21" spans="1:13" ht="14.25" customHeight="1" x14ac:dyDescent="0.2">
      <c r="A21" s="25"/>
      <c r="K21" s="26"/>
      <c r="L21" s="27"/>
      <c r="M21" s="28"/>
    </row>
    <row r="22" spans="1:13" ht="14.25" customHeight="1" x14ac:dyDescent="0.2">
      <c r="A22" s="23" t="s">
        <v>12</v>
      </c>
      <c r="B22" s="22"/>
      <c r="C22" s="22"/>
      <c r="D22" s="22"/>
      <c r="E22" s="22"/>
      <c r="F22" s="22"/>
      <c r="G22" s="22"/>
      <c r="H22" s="22"/>
      <c r="I22" s="22"/>
      <c r="J22" s="22"/>
      <c r="K22" s="23" t="s">
        <v>11</v>
      </c>
      <c r="L22" s="22"/>
      <c r="M22" s="3"/>
    </row>
    <row r="23" spans="1:13" ht="14.25" customHeight="1" x14ac:dyDescent="0.2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6"/>
      <c r="L23" s="27"/>
      <c r="M23" s="28"/>
    </row>
    <row r="24" spans="1:13" x14ac:dyDescent="0.2">
      <c r="A24" t="s">
        <v>13</v>
      </c>
    </row>
  </sheetData>
  <mergeCells count="4">
    <mergeCell ref="M1:O4"/>
    <mergeCell ref="G8:H8"/>
    <mergeCell ref="I8:J8"/>
    <mergeCell ref="L19:M19"/>
  </mergeCells>
  <printOptions horizontalCentered="1" verticalCentered="1"/>
  <pageMargins left="0.14000000000000001" right="0.12" top="0.54" bottom="0.47" header="0.5" footer="0.38"/>
  <pageSetup scale="91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pad.Document.1" shapeId="23553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23553" r:id="rId4"/>
      </mc:Fallback>
    </mc:AlternateContent>
    <mc:AlternateContent xmlns:mc="http://schemas.openxmlformats.org/markup-compatibility/2006">
      <mc:Choice Requires="x14">
        <oleObject progId="Wordpad.Document.1" shapeId="23556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23556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4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5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7DD4-2D67-466F-8D84-29ED8FDD6517}">
  <sheetPr>
    <pageSetUpPr fitToPage="1"/>
  </sheetPr>
  <dimension ref="A1:R24"/>
  <sheetViews>
    <sheetView tabSelected="1" zoomScale="75" workbookViewId="0">
      <selection activeCell="H47" sqref="H47"/>
    </sheetView>
  </sheetViews>
  <sheetFormatPr defaultRowHeight="12.75" x14ac:dyDescent="0.2"/>
  <cols>
    <col min="1" max="1" width="1.7109375" customWidth="1"/>
    <col min="2" max="2" width="81.28515625" customWidth="1"/>
    <col min="3" max="3" width="8.7109375" customWidth="1"/>
    <col min="4" max="4" width="7.42578125" hidden="1" customWidth="1"/>
    <col min="5" max="5" width="10.5703125" customWidth="1"/>
    <col min="6" max="6" width="8" customWidth="1"/>
    <col min="7" max="13" width="12" customWidth="1"/>
    <col min="14" max="14" width="11.7109375" customWidth="1"/>
    <col min="15" max="15" width="11" customWidth="1"/>
  </cols>
  <sheetData>
    <row r="1" spans="1:18" ht="17.25" customHeight="1" x14ac:dyDescent="0.45">
      <c r="A1" s="58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75" t="s">
        <v>15</v>
      </c>
      <c r="N1" s="75"/>
      <c r="O1" s="75"/>
    </row>
    <row r="2" spans="1:18" ht="22.5" customHeight="1" x14ac:dyDescent="0.45">
      <c r="A2" s="57"/>
      <c r="B2" s="57"/>
      <c r="C2" s="57"/>
      <c r="D2" s="59"/>
      <c r="E2" s="59"/>
      <c r="F2" s="59"/>
      <c r="G2" s="71"/>
      <c r="H2" s="57"/>
      <c r="I2" s="57"/>
      <c r="J2" s="57"/>
      <c r="K2" s="57"/>
      <c r="L2" s="57"/>
      <c r="M2" s="75"/>
      <c r="N2" s="75"/>
      <c r="O2" s="75"/>
    </row>
    <row r="3" spans="1:18" ht="18.75" customHeight="1" x14ac:dyDescent="0.45">
      <c r="A3" s="57"/>
      <c r="B3" s="71" t="s">
        <v>24</v>
      </c>
      <c r="C3" s="57"/>
      <c r="D3" s="59"/>
      <c r="E3" s="59"/>
      <c r="F3" s="59"/>
      <c r="G3" s="72"/>
      <c r="H3" s="57"/>
      <c r="I3" s="57"/>
      <c r="J3" s="57"/>
      <c r="K3" s="57"/>
      <c r="L3" s="57"/>
      <c r="M3" s="75"/>
      <c r="N3" s="75"/>
      <c r="O3" s="75"/>
    </row>
    <row r="4" spans="1:18" ht="21" customHeight="1" x14ac:dyDescent="0.45">
      <c r="A4" s="57"/>
      <c r="B4" s="72" t="s">
        <v>25</v>
      </c>
      <c r="C4" s="57"/>
      <c r="D4" s="57"/>
      <c r="E4" s="57"/>
      <c r="F4" s="57"/>
      <c r="G4" s="71"/>
      <c r="H4" s="57"/>
      <c r="I4" s="57"/>
      <c r="J4" s="57"/>
      <c r="K4" s="57"/>
      <c r="L4" s="57"/>
      <c r="M4" s="75"/>
      <c r="N4" s="75"/>
      <c r="O4" s="75"/>
    </row>
    <row r="5" spans="1:18" ht="18.75" customHeight="1" x14ac:dyDescent="0.45">
      <c r="A5" s="57"/>
      <c r="B5" s="71" t="s">
        <v>26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7" spans="1:18" s="9" customFormat="1" ht="16.5" customHeight="1" x14ac:dyDescent="0.2">
      <c r="A7" s="1" t="s">
        <v>20</v>
      </c>
      <c r="B7" s="2"/>
      <c r="C7" s="2"/>
      <c r="D7" s="3"/>
      <c r="E7" s="22"/>
      <c r="F7" s="22"/>
      <c r="G7" s="4" t="s">
        <v>0</v>
      </c>
      <c r="H7" s="5"/>
      <c r="I7" s="4" t="s">
        <v>1</v>
      </c>
      <c r="J7" s="5"/>
      <c r="K7" s="4" t="s">
        <v>2</v>
      </c>
      <c r="L7" s="5"/>
      <c r="M7" s="6"/>
      <c r="N7" s="7" t="s">
        <v>3</v>
      </c>
      <c r="O7" s="8"/>
    </row>
    <row r="8" spans="1:18" ht="16.5" customHeight="1" x14ac:dyDescent="0.25">
      <c r="A8" s="10" t="s">
        <v>28</v>
      </c>
      <c r="B8" s="11"/>
      <c r="C8" s="11"/>
      <c r="D8" s="12"/>
      <c r="E8" s="61"/>
      <c r="F8" s="61"/>
      <c r="G8" s="76" t="s">
        <v>27</v>
      </c>
      <c r="H8" s="77"/>
      <c r="I8" s="78" t="s">
        <v>17</v>
      </c>
      <c r="J8" s="79"/>
      <c r="K8" s="13">
        <f>'C1 W1'!K8+7</f>
        <v>46214</v>
      </c>
      <c r="L8" s="14"/>
      <c r="M8" s="15"/>
      <c r="N8" s="16" t="s">
        <v>4</v>
      </c>
      <c r="O8" s="17"/>
    </row>
    <row r="9" spans="1:18" ht="16.5" customHeight="1" x14ac:dyDescent="0.2"/>
    <row r="10" spans="1:18" ht="16.5" customHeight="1" x14ac:dyDescent="0.2">
      <c r="A10" s="35" t="s">
        <v>5</v>
      </c>
      <c r="B10" s="36"/>
      <c r="C10" s="36"/>
      <c r="D10" s="31"/>
      <c r="E10" s="31"/>
      <c r="F10" s="31"/>
      <c r="G10" s="48">
        <f t="shared" ref="G10:M10" si="0">G11</f>
        <v>46208</v>
      </c>
      <c r="H10" s="48">
        <f t="shared" si="0"/>
        <v>46209</v>
      </c>
      <c r="I10" s="48">
        <f t="shared" si="0"/>
        <v>46210</v>
      </c>
      <c r="J10" s="48">
        <f t="shared" si="0"/>
        <v>46211</v>
      </c>
      <c r="K10" s="48">
        <f t="shared" si="0"/>
        <v>46212</v>
      </c>
      <c r="L10" s="48">
        <f t="shared" si="0"/>
        <v>46213</v>
      </c>
      <c r="M10" s="48">
        <f t="shared" si="0"/>
        <v>46214</v>
      </c>
      <c r="N10" s="32" t="s">
        <v>6</v>
      </c>
      <c r="O10" s="33"/>
    </row>
    <row r="11" spans="1:18" ht="16.5" customHeight="1" x14ac:dyDescent="0.2">
      <c r="A11" s="37"/>
      <c r="B11" s="60" t="s">
        <v>7</v>
      </c>
      <c r="C11" s="46" t="s">
        <v>22</v>
      </c>
      <c r="D11" s="56" t="s">
        <v>19</v>
      </c>
      <c r="E11" s="56" t="s">
        <v>23</v>
      </c>
      <c r="F11" s="56" t="s">
        <v>18</v>
      </c>
      <c r="G11" s="49">
        <f t="shared" ref="G11:L11" si="1">H11-1</f>
        <v>46208</v>
      </c>
      <c r="H11" s="49">
        <f t="shared" si="1"/>
        <v>46209</v>
      </c>
      <c r="I11" s="49">
        <f t="shared" si="1"/>
        <v>46210</v>
      </c>
      <c r="J11" s="49">
        <f t="shared" si="1"/>
        <v>46211</v>
      </c>
      <c r="K11" s="49">
        <f t="shared" si="1"/>
        <v>46212</v>
      </c>
      <c r="L11" s="49">
        <f t="shared" si="1"/>
        <v>46213</v>
      </c>
      <c r="M11" s="49">
        <f>K8</f>
        <v>46214</v>
      </c>
      <c r="N11" s="45" t="s">
        <v>8</v>
      </c>
      <c r="O11" s="45" t="s">
        <v>9</v>
      </c>
    </row>
    <row r="12" spans="1:18" ht="10.5" customHeight="1" x14ac:dyDescent="0.2">
      <c r="A12" s="42"/>
      <c r="B12" s="34"/>
      <c r="C12" s="34"/>
      <c r="D12" s="43"/>
      <c r="E12" s="43"/>
      <c r="F12" s="43"/>
      <c r="G12" s="50"/>
      <c r="H12" s="50"/>
      <c r="I12" s="50"/>
      <c r="J12" s="50"/>
      <c r="K12" s="50"/>
      <c r="L12" s="50"/>
      <c r="M12" s="50"/>
      <c r="N12" s="44"/>
      <c r="O12" s="44"/>
    </row>
    <row r="13" spans="1:18" ht="0.75" customHeight="1" x14ac:dyDescent="0.2">
      <c r="A13" s="51"/>
      <c r="B13" s="52"/>
      <c r="C13" s="52"/>
      <c r="D13" s="53"/>
      <c r="E13" s="53"/>
      <c r="F13" s="53"/>
      <c r="G13" s="54"/>
      <c r="H13" s="54"/>
      <c r="I13" s="54"/>
      <c r="J13" s="54"/>
      <c r="K13" s="54"/>
      <c r="L13" s="54"/>
      <c r="M13" s="54"/>
      <c r="N13" s="55"/>
      <c r="O13" s="55"/>
    </row>
    <row r="14" spans="1:18" s="19" customFormat="1" ht="15" customHeight="1" x14ac:dyDescent="0.25">
      <c r="A14" s="47"/>
      <c r="B14" s="63"/>
      <c r="C14" s="64"/>
      <c r="D14" s="65"/>
      <c r="E14" s="66"/>
      <c r="F14" s="65"/>
      <c r="G14" s="67"/>
      <c r="H14" s="68"/>
      <c r="I14" s="68"/>
      <c r="J14" s="68"/>
      <c r="K14" s="68"/>
      <c r="L14" s="68"/>
      <c r="M14" s="68"/>
      <c r="N14" s="68"/>
      <c r="O14" s="69">
        <f>SUM(G14:M14)</f>
        <v>0</v>
      </c>
      <c r="R14"/>
    </row>
    <row r="15" spans="1:18" ht="15" customHeight="1" x14ac:dyDescent="0.2">
      <c r="A15" s="30"/>
      <c r="B15" s="19"/>
      <c r="C15" s="19"/>
      <c r="D15" s="19"/>
      <c r="E15" s="19"/>
      <c r="F15" s="19"/>
      <c r="G15" s="29"/>
      <c r="H15" s="29"/>
      <c r="I15" s="29"/>
      <c r="J15" s="29"/>
      <c r="K15" s="29"/>
      <c r="L15" s="29"/>
      <c r="M15" s="29"/>
      <c r="N15" s="29"/>
      <c r="O15" s="29"/>
    </row>
    <row r="16" spans="1:18" ht="16.5" customHeight="1" x14ac:dyDescent="0.25">
      <c r="A16" s="39" t="s">
        <v>10</v>
      </c>
      <c r="B16" s="40"/>
      <c r="C16" s="62"/>
      <c r="D16" s="18"/>
      <c r="E16" s="18"/>
      <c r="F16" s="18"/>
      <c r="G16" s="41">
        <f t="shared" ref="G16:O16" si="2">SUM(G14:G15)</f>
        <v>0</v>
      </c>
      <c r="H16" s="41">
        <f t="shared" si="2"/>
        <v>0</v>
      </c>
      <c r="I16" s="41">
        <f t="shared" si="2"/>
        <v>0</v>
      </c>
      <c r="J16" s="41">
        <f t="shared" si="2"/>
        <v>0</v>
      </c>
      <c r="K16" s="41">
        <f t="shared" si="2"/>
        <v>0</v>
      </c>
      <c r="L16" s="41">
        <f t="shared" si="2"/>
        <v>0</v>
      </c>
      <c r="M16" s="41">
        <f t="shared" si="2"/>
        <v>0</v>
      </c>
      <c r="N16" s="41">
        <f t="shared" si="2"/>
        <v>0</v>
      </c>
      <c r="O16" s="41">
        <f t="shared" si="2"/>
        <v>0</v>
      </c>
      <c r="P16" s="38">
        <f>SUM(N16:O16)</f>
        <v>0</v>
      </c>
    </row>
    <row r="17" spans="1:13" ht="14.25" customHeight="1" x14ac:dyDescent="0.2"/>
    <row r="18" spans="1:13" ht="14.25" customHeight="1" x14ac:dyDescent="0.2">
      <c r="A18" s="20" t="s">
        <v>21</v>
      </c>
      <c r="B18" s="21"/>
      <c r="C18" s="21"/>
      <c r="D18" s="22"/>
      <c r="E18" s="22"/>
      <c r="F18" s="22"/>
      <c r="G18" s="22"/>
      <c r="H18" s="22"/>
      <c r="I18" s="22"/>
      <c r="J18" s="22"/>
      <c r="K18" s="23" t="s">
        <v>11</v>
      </c>
      <c r="L18" s="24"/>
      <c r="M18" s="3"/>
    </row>
    <row r="19" spans="1:13" ht="14.25" customHeight="1" x14ac:dyDescent="0.2">
      <c r="A19" s="25"/>
      <c r="B19" s="34"/>
      <c r="D19" t="s">
        <v>16</v>
      </c>
      <c r="K19" s="26"/>
      <c r="L19" s="73">
        <f ca="1">NOW()</f>
        <v>46305.419900115739</v>
      </c>
      <c r="M19" s="74"/>
    </row>
    <row r="20" spans="1:13" ht="14.25" customHeight="1" x14ac:dyDescent="0.2">
      <c r="A20" s="20" t="s">
        <v>14</v>
      </c>
      <c r="B20" s="21"/>
      <c r="C20" s="21"/>
      <c r="D20" s="22"/>
      <c r="E20" s="22"/>
      <c r="F20" s="22"/>
      <c r="G20" s="22"/>
      <c r="H20" s="22"/>
      <c r="I20" s="22"/>
      <c r="J20" s="22"/>
      <c r="K20" s="23" t="s">
        <v>11</v>
      </c>
      <c r="L20" s="24"/>
      <c r="M20" s="3"/>
    </row>
    <row r="21" spans="1:13" ht="14.25" customHeight="1" x14ac:dyDescent="0.2">
      <c r="A21" s="25"/>
      <c r="K21" s="26"/>
      <c r="L21" s="27"/>
      <c r="M21" s="28"/>
    </row>
    <row r="22" spans="1:13" ht="14.25" customHeight="1" x14ac:dyDescent="0.2">
      <c r="A22" s="23" t="s">
        <v>12</v>
      </c>
      <c r="B22" s="22"/>
      <c r="C22" s="22"/>
      <c r="D22" s="22"/>
      <c r="E22" s="22"/>
      <c r="F22" s="22"/>
      <c r="G22" s="22"/>
      <c r="H22" s="22"/>
      <c r="I22" s="22"/>
      <c r="J22" s="22"/>
      <c r="K22" s="23" t="s">
        <v>11</v>
      </c>
      <c r="L22" s="22"/>
      <c r="M22" s="3"/>
    </row>
    <row r="23" spans="1:13" ht="14.25" customHeight="1" x14ac:dyDescent="0.2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6"/>
      <c r="L23" s="27"/>
      <c r="M23" s="28"/>
    </row>
    <row r="24" spans="1:13" x14ac:dyDescent="0.2">
      <c r="A24" t="s">
        <v>13</v>
      </c>
    </row>
  </sheetData>
  <mergeCells count="4">
    <mergeCell ref="M1:O4"/>
    <mergeCell ref="G8:H8"/>
    <mergeCell ref="I8:J8"/>
    <mergeCell ref="L19:M19"/>
  </mergeCells>
  <printOptions horizontalCentered="1" verticalCentered="1"/>
  <pageMargins left="0.14000000000000001" right="0.12" top="0.54" bottom="0.47" header="0.5" footer="0.38"/>
  <pageSetup scale="91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pad.Document.1" shapeId="24577" r:id="rId4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24577" r:id="rId4"/>
      </mc:Fallback>
    </mc:AlternateContent>
    <mc:AlternateContent xmlns:mc="http://schemas.openxmlformats.org/markup-compatibility/2006">
      <mc:Choice Requires="x14">
        <oleObject progId="Wordpad.Document.1" shapeId="24580" r:id="rId6">
          <objectPr locked="0" defaultSize="0" autoFill="0" autoLine="0" autoPict="0" r:id="rId5">
            <anchor moveWithCells="1" sizeWithCells="1">
              <from>
                <xdr:col>1</xdr:col>
                <xdr:colOff>0</xdr:colOff>
                <xdr:row>0</xdr:row>
                <xdr:rowOff>0</xdr:rowOff>
              </from>
              <to>
                <xdr:col>6</xdr:col>
                <xdr:colOff>9525</xdr:colOff>
                <xdr:row>0</xdr:row>
                <xdr:rowOff>9525</xdr:rowOff>
              </to>
            </anchor>
          </objectPr>
        </oleObject>
      </mc:Choice>
      <mc:Fallback>
        <oleObject progId="Wordpad.Document.1" shapeId="24580" r:id="rId6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8" r:id="rId7" name="Check Box 2">
              <controlPr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0</xdr:rowOff>
                  </from>
                  <to>
                    <xdr:col>12</xdr:col>
                    <xdr:colOff>657225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8" name="Check Box 3">
              <controlPr locked="0" defaultSize="0" autoFill="0" autoLine="0" autoPict="0">
                <anchor moveWithCells="1">
                  <from>
                    <xdr:col>12</xdr:col>
                    <xdr:colOff>361950</xdr:colOff>
                    <xdr:row>6</xdr:row>
                    <xdr:rowOff>200025</xdr:rowOff>
                  </from>
                  <to>
                    <xdr:col>12</xdr:col>
                    <xdr:colOff>657225</xdr:colOff>
                    <xdr:row>7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C1 W1</vt:lpstr>
      <vt:lpstr>C1 W2</vt:lpstr>
      <vt:lpstr>C1 W3</vt:lpstr>
      <vt:lpstr>C1 W4</vt:lpstr>
      <vt:lpstr>C1 W5</vt:lpstr>
      <vt:lpstr>C1 W6</vt:lpstr>
      <vt:lpstr>C1 W7</vt:lpstr>
      <vt:lpstr>C1 W8</vt:lpstr>
      <vt:lpstr>'C1 W1'!Print_Area</vt:lpstr>
      <vt:lpstr>'C1 W2'!Print_Area</vt:lpstr>
      <vt:lpstr>'C1 W3'!Print_Area</vt:lpstr>
      <vt:lpstr>'C1 W4'!Print_Area</vt:lpstr>
      <vt:lpstr>'C1 W5'!Print_Area</vt:lpstr>
      <vt:lpstr>'C1 W6'!Print_Area</vt:lpstr>
      <vt:lpstr>'C1 W7'!Print_Area</vt:lpstr>
      <vt:lpstr>'C1 W8'!Print_Area</vt:lpstr>
    </vt:vector>
  </TitlesOfParts>
  <Company>cdi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</dc:creator>
  <cp:lastModifiedBy>Greg Corron</cp:lastModifiedBy>
  <cp:lastPrinted>2008-04-29T20:27:42Z</cp:lastPrinted>
  <dcterms:created xsi:type="dcterms:W3CDTF">1997-01-20T19:21:16Z</dcterms:created>
  <dcterms:modified xsi:type="dcterms:W3CDTF">2026-10-10T17:04:44Z</dcterms:modified>
</cp:coreProperties>
</file>